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log" sheetId="2" state="visible" r:id="rId4"/>
  </sheets>
  <definedNames>
    <definedName function="false" hidden="false" localSheetId="0" name="_xlnm.Print_Area" vbProcedure="false">Sheet1!$B$1:$I$136</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<sst xmlns="http://schemas.openxmlformats.org/spreadsheetml/2006/main" count="705" uniqueCount="499">
  <si>
    <t xml:space="preserve">Date</t>
  </si>
  <si>
    <t xml:space="preserve">Hours</t>
  </si>
  <si>
    <t xml:space="preserve">Thur</t>
  </si>
  <si>
    <t xml:space="preserve">Fri</t>
  </si>
  <si>
    <t xml:space="preserve">Sun</t>
  </si>
  <si>
    <t xml:space="preserve">Mon</t>
  </si>
  <si>
    <t xml:space="preserve">Wed</t>
  </si>
  <si>
    <t xml:space="preserve">Write Outputs section; Start on RF System section – ACCES</t>
  </si>
  <si>
    <t xml:space="preserve">Cont on RF System section – ACCESS</t>
  </si>
  <si>
    <t xml:space="preserve">Finish ACCESS, start on D16</t>
  </si>
  <si>
    <t xml:space="preserve">Tue</t>
  </si>
  <si>
    <t xml:space="preserve">Write Telemetry</t>
  </si>
  <si>
    <t xml:space="preserve">Write Checklist, Timers, Logic Switches, Special Functions (90% complete)</t>
  </si>
  <si>
    <t xml:space="preserve">Write Curves, Trainer</t>
  </si>
  <si>
    <t xml:space="preserve">Review 0.0.16 changes</t>
  </si>
  <si>
    <t xml:space="preserve">Sat</t>
  </si>
  <si>
    <t xml:space="preserve">Update Model_parts1_rev2 for 0.0.16 changes.</t>
  </si>
  <si>
    <t xml:space="preserve">Update Mixer, Outputs</t>
  </si>
  <si>
    <t xml:space="preserve">Update Timers, Trims</t>
  </si>
  <si>
    <t xml:space="preserve">Add indents to Model section files</t>
  </si>
  <si>
    <t xml:space="preserve">Start Tutorials section</t>
  </si>
  <si>
    <t xml:space="preserve">Add screenshots, more info</t>
  </si>
  <si>
    <t xml:space="preserve">Write tutorials Step 4</t>
  </si>
  <si>
    <t xml:space="preserve">Write tutorials Step 5</t>
  </si>
  <si>
    <t xml:space="preserve">Update Model section for 1.0.1</t>
  </si>
  <si>
    <t xml:space="preserve">Cont. Model section for 1.0.1, combine part1 and 2 into 1 file</t>
  </si>
  <si>
    <t xml:space="preserve">Cont. tutorials</t>
  </si>
  <si>
    <t xml:space="preserve">Update Models rev 4 with Options feature, etc. Continue with tutorial, add option to use pot for differential.</t>
  </si>
  <si>
    <t xml:space="preserve">Cont. tutorials, VFR alert, add a timer, add a low battery warning, and retracts</t>
  </si>
  <si>
    <t xml:space="preserve">Start rev 6: Add TOC, combine files</t>
  </si>
  <si>
    <t xml:space="preserve">up to rev 6</t>
  </si>
  <si>
    <t xml:space="preserve">continue: Add TOC, combine files</t>
  </si>
  <si>
    <t xml:space="preserve">Start rev 7:Start System section, Model Select, File Manager, Alerts</t>
  </si>
  <si>
    <t xml:space="preserve">Cont. Date &amp; Time, Display, Sound &amp; Vibr, Battery, Hardware, Sticks Mode</t>
  </si>
  <si>
    <t xml:space="preserve">Cont. Wireless, Info, System Overview</t>
  </si>
  <si>
    <t xml:space="preserve">start rev 8, Added option to reorder channels for SR8 and SR10 </t>
  </si>
  <si>
    <t xml:space="preserve">add R900 redundant receiver binding, plus 1.0.3 changes</t>
  </si>
  <si>
    <t xml:space="preserve">1.0.3 Alerts – removed SD card check; explain about grouped channels eg AAETR</t>
  </si>
  <si>
    <t xml:space="preserve">added SF Write Logs</t>
  </si>
  <si>
    <t xml:space="preserve">Recreate index, export as PDF</t>
  </si>
  <si>
    <t xml:space="preserve">1.0.4 analyze changes</t>
  </si>
  <si>
    <t xml:space="preserve">1.0.4 make changes</t>
  </si>
  <si>
    <t xml:space="preserve">Add Neuron battery capacity alert</t>
  </si>
  <si>
    <t xml:space="preserve">1.0.5 analyze changes, limits to 150%,</t>
  </si>
  <si>
    <t xml:space="preserve">add other 1.0.5 changes, correct battery and telemetry sections</t>
  </si>
  <si>
    <t xml:space="preserve">1.0.6 analyze changes, add expo curves to mixes</t>
  </si>
  <si>
    <t xml:space="preserve">add X20S BT audio</t>
  </si>
  <si>
    <t xml:space="preserve">see 1.0.6 change log, 1.0.7 analyze changes</t>
  </si>
  <si>
    <t xml:space="preserve">see 1.0.7 change log</t>
  </si>
  <si>
    <t xml:space="preserve">add Write Logs interval setting, update TOC, spell check etc</t>
  </si>
  <si>
    <t xml:space="preserve">1.0.8 analyze changes, refer change log</t>
  </si>
  <si>
    <t xml:space="preserve">see 1.0.8 change log</t>
  </si>
  <si>
    <t xml:space="preserve">see 1.0.8 change log, added option to create model for SRx receivers</t>
  </si>
  <si>
    <t xml:space="preserve">1.0.9 analyze changes, refer change log</t>
  </si>
  <si>
    <t xml:space="preserve">1.0.10rc1 analyze changes, refer change log</t>
  </si>
  <si>
    <t xml:space="preserve">add tutorial for complex Butterfly mix</t>
  </si>
  <si>
    <t xml:space="preserve">1.0.10rc3 analyze changes, refer change log</t>
  </si>
  <si>
    <t xml:space="preserve">System pages</t>
  </si>
  <si>
    <t xml:space="preserve">FM, Mixers</t>
  </si>
  <si>
    <t xml:space="preserve">SF, Trainer, Device Config</t>
  </si>
  <si>
    <t xml:space="preserve">Update tutorials incl all new images, rewrite Low Battery Voltage Warning for new sensor</t>
  </si>
  <si>
    <t xml:space="preserve">continue tutorials</t>
  </si>
  <si>
    <t xml:space="preserve">Analyze issues list, update Curves</t>
  </si>
  <si>
    <t xml:space="preserve">Add tutorial for using a Calculated sensor and FAS100</t>
  </si>
  <si>
    <t xml:space="preserve">1.0.10 full release:  analyze changes, refer change log</t>
  </si>
  <si>
    <t xml:space="preserve">1.0.10 final release updates per change log</t>
  </si>
  <si>
    <t xml:space="preserve">rev16, correct redundant rx section</t>
  </si>
  <si>
    <t xml:space="preserve">1.0.11_rc4 full release:  analyze changes</t>
  </si>
  <si>
    <t xml:space="preserve">1.0.11 update Hardware, Telemetry, DIY sensor</t>
  </si>
  <si>
    <t xml:space="preserve">1.0.11 update System Events, RTN to Home, switches naming,</t>
  </si>
  <si>
    <t xml:space="preserve">1.0.11 p18, 21, 51, 54, 94, 142</t>
  </si>
  <si>
    <t xml:space="preserve">New section Emergency Mode</t>
  </si>
  <si>
    <t xml:space="preserve">1.0.11 rev 17 now released, finalise changes incl spell check, revise TOC etc</t>
  </si>
  <si>
    <t xml:space="preserve">Update SF images</t>
  </si>
  <si>
    <t xml:space="preserve">Clarify Sound Mode ‘Often’</t>
  </si>
  <si>
    <t xml:space="preserve">Analyze 1.0.12 rc1 changes</t>
  </si>
  <si>
    <t xml:space="preserve">refer changes log p22-23, p24, p42, p28, p85, p95, p97-104, p104, p104 </t>
  </si>
  <si>
    <t xml:space="preserve">refer changes log p42, p106-110</t>
  </si>
  <si>
    <t xml:space="preserve">Analyze 1.0.12 rc2 changes</t>
  </si>
  <si>
    <t xml:space="preserve">Analyze 1.0.12 rc2 changes, add supported languages, check wizard update</t>
  </si>
  <si>
    <t xml:space="preserve">Analyze 1.0.12 rc4 and rc5 changes</t>
  </si>
  <si>
    <t xml:space="preserve">Start writing How to update the radio firmware section</t>
  </si>
  <si>
    <t xml:space="preserve">1.0.12 Release changes, add Race mode</t>
  </si>
  <si>
    <t xml:space="preserve">Analyze 1.0.13/14 changes, add SBUS-16/24 option, move Function switches setup to Edit model</t>
  </si>
  <si>
    <t xml:space="preserve">Analyse 1.1.0_a1</t>
  </si>
  <si>
    <t xml:space="preserve">Add Configure Screens section</t>
  </si>
  <si>
    <t xml:space="preserve">Configure screens, add Lua Scripting section, add RTC adjust</t>
  </si>
  <si>
    <t xml:space="preserve">1.1.0_a8 analysis and changes; Add the channel preview in Model / Output edit screen</t>
  </si>
  <si>
    <t xml:space="preserve">1.1.0_a9 analysis and changes;</t>
  </si>
  <si>
    <t xml:space="preserve">1.1.0_a10 analysis and changes;</t>
  </si>
  <si>
    <t xml:space="preserve">Fri </t>
  </si>
  <si>
    <t xml:space="preserve">1.1.0_a11 analysis and changes; add channel preview an ability to add mix after ‘Last Position’</t>
  </si>
  <si>
    <t xml:space="preserve">1.0.17 analysis and changes; create manual rev22</t>
  </si>
  <si>
    <t xml:space="preserve">1.1.0_a12,14,15 analysis and changes; Joystick/Serial power on modes</t>
  </si>
  <si>
    <t xml:space="preserve">Ignore Trainer Inputs, Trainer channels individual switches added</t>
  </si>
  <si>
    <t xml:space="preserve">1.0.18 and 1.1.0_a16 analysis and changes; add ‘Function switch Warnings on Model load’, add Multi Lipo sensor, add Home Keymap changes</t>
  </si>
  <si>
    <t xml:space="preserve">Thu</t>
  </si>
  <si>
    <t xml:space="preserve">1.1.0_alpha changes, incl ‘New Mixer View with mixes sorted per channel ‘</t>
  </si>
  <si>
    <t xml:space="preserve">1.1.0_alpha changes cont.</t>
  </si>
  <si>
    <t xml:space="preserve">1.1.0_a17 analysis and changes; incl New Model Select screen with custom folders support </t>
  </si>
  <si>
    <t xml:space="preserve">cont. custom folders</t>
  </si>
  <si>
    <t xml:space="preserve">1.1.0_a18 analysis and changes;</t>
  </si>
  <si>
    <t xml:space="preserve">1.1.0_rc1 analysis and changes; incl. Combine Display &amp; Sound&amp;Vibr into General, etc.</t>
  </si>
  <si>
    <t xml:space="preserve">1.1.0_rc1 analysis and changes; incl model quick select, updated Main Views, etc</t>
  </si>
  <si>
    <t xml:space="preserve">update mixer library section, airplane example</t>
  </si>
  <si>
    <t xml:space="preserve">mixer library section; 1.1.0_rc2 analysis and changes; Add ‘Haptic added to inactivity alarm ’</t>
  </si>
  <si>
    <t xml:space="preserve">add TD MODE</t>
  </si>
  <si>
    <t xml:space="preserve">cont. TD Mode</t>
  </si>
  <si>
    <t xml:space="preserve">add image specs and rules, update RTC check screen, image for Lowest cell.</t>
  </si>
  <si>
    <t xml:space="preserve">1.1.0 final release analysis and changes;</t>
  </si>
  <si>
    <t xml:space="preserve">Finalize 1.1.0, 1.1.1 analysis</t>
  </si>
  <si>
    <t xml:space="preserve">1.1.1 changes; The ‘Uncategorized’ folder will always appear last in the list.</t>
  </si>
  <si>
    <t xml:space="preserve">update pg 1</t>
  </si>
  <si>
    <t xml:space="preserve">1.1.1 rev 1: p6 Add baud rate and link to Virtual COM Port driver. </t>
  </si>
  <si>
    <t xml:space="preserve">Update S.Port telemetry</t>
  </si>
  <si>
    <t xml:space="preserve">Write up SPort Physical ID and Application ID, start FBUS How To</t>
  </si>
  <si>
    <t xml:space="preserve">continue FBUS How To</t>
  </si>
  <si>
    <t xml:space="preserve">1.1.2 and 1.1.3 analysis, 1.1.2 changes</t>
  </si>
  <si>
    <t xml:space="preserve">1.1.2 Self Check changes, Switch names in Preflight</t>
  </si>
  <si>
    <t xml:space="preserve">1.1.3, 1.1.4 Analysis and changes, 1.2.0 RC0 Analysis</t>
  </si>
  <si>
    <t xml:space="preserve">Update BT Audio screenshots</t>
  </si>
  <si>
    <t xml:space="preserve">Analyse 1.2.1 rc1, 1.2.3 rc3, 1.2.6, 1.2.7, 1.2.8 changes, start Suite</t>
  </si>
  <si>
    <t xml:space="preserve">Write Suite section</t>
  </si>
  <si>
    <t xml:space="preserve">Mon </t>
  </si>
  <si>
    <t xml:space="preserve">Write Suite section, Audio &amp; Image tools</t>
  </si>
  <si>
    <t xml:space="preserve">Invoice sent 06 June 2022</t>
  </si>
  <si>
    <t xml:space="preserve">Write Suite section, add other changes from 1.2.6, 1.2.7, 1.2.8 changes</t>
  </si>
  <si>
    <t xml:space="preserve">Start 2.1.9 changes</t>
  </si>
  <si>
    <t xml:space="preserve">Updated to 2.1.9v2 Suite uploaded today</t>
  </si>
  <si>
    <t xml:space="preserve">Add details to Lua section.</t>
  </si>
  <si>
    <t xml:space="preserve">Update to 1.2.10</t>
  </si>
  <si>
    <t xml:space="preserve">Bootloader 1.2.10 is now the minimum version to start using Suite</t>
  </si>
  <si>
    <t xml:space="preserve">Clean up Ethos Guide section, Addedtutorial example for setup of a flying wing.</t>
  </si>
  <si>
    <t xml:space="preserve">Finished example for setup of a flying wing.</t>
  </si>
  <si>
    <t xml:space="preserve">Tutorial example for helicopter setup</t>
  </si>
  <si>
    <t xml:space="preserve">cont. tutorials</t>
  </si>
  <si>
    <t xml:space="preserve">Analyse 1.2.11 changes, update Butterfly example</t>
  </si>
  <si>
    <t xml:space="preserve">Cont.  Butterfly example, add PPM Center adj,</t>
  </si>
  <si>
    <t xml:space="preserve">Appl ID change, add ‘Clock’ to Play Value SF</t>
  </si>
  <si>
    <t xml:space="preserve">Model name for filename; Wireless configurable rate; preview in Model Bitmap Select</t>
  </si>
  <si>
    <t xml:space="preserve">improve Flight Modes, Curves in Mixer,</t>
  </si>
  <si>
    <t xml:space="preserve">Analyse 1.3.0</t>
  </si>
  <si>
    <r>
      <rPr>
        <sz val="10"/>
        <rFont val="Arial"/>
        <family val="2"/>
        <charset val="1"/>
      </rPr>
      <t xml:space="preserve">add Offset mixes; add 3</t>
    </r>
    <r>
      <rPr>
        <vertAlign val="superscript"/>
        <sz val="10"/>
        <rFont val="Arial"/>
        <family val="2"/>
        <charset val="1"/>
      </rPr>
      <t xml:space="preserve">rd</t>
    </r>
    <r>
      <rPr>
        <sz val="10"/>
        <rFont val="Arial"/>
        <family val="2"/>
        <charset val="1"/>
      </rPr>
      <t xml:space="preserve"> Party Modules support</t>
    </r>
  </si>
  <si>
    <t xml:space="preserve">Update Butterfly example with new Offset mix</t>
  </si>
  <si>
    <t xml:space="preserve">Sun </t>
  </si>
  <si>
    <t xml:space="preserve">add overview description to Write Logs SF, add Timer Logs widget, add Channels widget</t>
  </si>
  <si>
    <t xml:space="preserve">add Line Chart widget</t>
  </si>
  <si>
    <t xml:space="preserve">Analyse 1.3.1; add ‘New 3x1 Home Screen Layout’; add 150% servo limits is potentially dangerous </t>
  </si>
  <si>
    <t xml:space="preserve">Issue fixed with Model file names which can now have 15+4 chars; new calculated sensors</t>
  </si>
  <si>
    <t xml:space="preserve">Analyse 1.3.2</t>
  </si>
  <si>
    <t xml:space="preserve">add Percent and Power caculated sensor; add QWERTZ keyboard, updarte change list</t>
  </si>
  <si>
    <t xml:space="preserve">improve channel update rate description, add Slow up and Slow Down to Flight Mode example </t>
  </si>
  <si>
    <t xml:space="preserve">correct no of Curves available to 50;  correct no of Mixer lines to 120; correct no of Flight Modes to 20; Add Note that for SrX receivers  the throttle channel 3 must be at -100 or the Self Check will not be initiated.</t>
  </si>
  <si>
    <t xml:space="preserve">Analyse 1.3.3, 1.3.4</t>
  </si>
  <si>
    <t xml:space="preserve">Add a "Save to Disk" option in the Flight Data Recorder; Airbrakes Mix made available on gliders </t>
  </si>
  <si>
    <t xml:space="preserve">Analyse 1.4.0, update Suite section, add Developer Mode, Model Manager, Repair Tool, update affected images. Add TWIN Lite Pro external module</t>
  </si>
  <si>
    <t xml:space="preserve">Update DIY and calculated sensors.</t>
  </si>
  <si>
    <t xml:space="preserve">Update calculated sensors, add Custom sensor.</t>
  </si>
  <si>
    <t xml:space="preserve">Analyse 1.4.1</t>
  </si>
  <si>
    <t xml:space="preserve">Add Custom sensor examples</t>
  </si>
  <si>
    <t xml:space="preserve">Update Audio settings and Telemetry sensors</t>
  </si>
  <si>
    <t xml:space="preserve">Changes to external modules support</t>
  </si>
  <si>
    <t xml:space="preserve">external modules support; warning about Lua scripts</t>
  </si>
  <si>
    <t xml:space="preserve">Add TW Lite Pro section including TW Mode and ELRS</t>
  </si>
  <si>
    <t xml:space="preserve">Update ELRS section with screenshots.</t>
  </si>
  <si>
    <t xml:space="preserve">Add note re channel support Tandem vs ACCESS</t>
  </si>
  <si>
    <t xml:space="preserve">Update Model ID sections</t>
  </si>
  <si>
    <t xml:space="preserve">Analyse 1.4.3; update Suite</t>
  </si>
  <si>
    <t xml:space="preserve">Add checklist warning change</t>
  </si>
  <si>
    <t xml:space="preserve">Analyse 1.4.4, 1.4.5</t>
  </si>
  <si>
    <t xml:space="preserve">Model filename update; disable sensor conflict warnings; added Trim Range; Preflight Checks done after Reset Flight; Better confirmation of Preflight Checks; Mix Rud =&gt; Ele enabled on Gliders </t>
  </si>
  <si>
    <t xml:space="preserve">Thurs</t>
  </si>
  <si>
    <t xml:space="preserve">'Options’ flag changed; Switches section images updated; update Checklist section; update Device Config</t>
  </si>
  <si>
    <t xml:space="preserve">Add Lipo widget details, new Home screen, Suite now also shows historical releases</t>
  </si>
  <si>
    <t xml:space="preserve">Update the DFU Flasher section with guidance for updating the driver.</t>
  </si>
  <si>
    <t xml:space="preserve">Update Suite in line with how it works now – no more dynamic tabs</t>
  </si>
  <si>
    <t xml:space="preserve">Analyse 1.4.6 pre-release; gyro calibration, PWM centre, pre-flight checks; revise RF section Access, revise RF section ACCST</t>
  </si>
  <si>
    <t xml:space="preserve">Revise RF Section TD Mode; update Analogs Filter; comparison of sources</t>
  </si>
  <si>
    <t xml:space="preserve">Update file image BMP details, main voltage calibration, trim range, model ID, ELRS module details, Analyse 1.4.7</t>
  </si>
  <si>
    <t xml:space="preserve">Analyse 1.5.0, select model at power up, reset ouput channel, VARs</t>
  </si>
  <si>
    <t xml:space="preserve">Update model section images due to VARs. Update Curves section for Curve Offset.</t>
  </si>
  <si>
    <t xml:space="preserve">Update Write Logs SF,  Line Chart widget</t>
  </si>
  <si>
    <t xml:space="preserve">Update Telemetry with Competition setting</t>
  </si>
  <si>
    <t xml:space="preserve">Add to Vars section, add Voices to Audio</t>
  </si>
  <si>
    <t xml:space="preserve">Play Sequence cmd</t>
  </si>
  <si>
    <t xml:space="preserve">Update images to show 4 character Application IDs; Analyse 1.4.8</t>
  </si>
  <si>
    <t xml:space="preserve">Update Ethos Suite to 1.4.8</t>
  </si>
  <si>
    <t xml:space="preserve">Invoice sent 17 April 2023</t>
  </si>
  <si>
    <t xml:space="preserve">Cont. with Ethos Suite updates</t>
  </si>
  <si>
    <t xml:space="preserve">Changes due to new Lua section</t>
  </si>
  <si>
    <t xml:space="preserve">Move Wireless / BT Audio to General Audio, and Wireless BT Trainer to Model / Trainer.</t>
  </si>
  <si>
    <r>
      <rPr>
        <sz val="10"/>
        <rFont val="Arial"/>
        <family val="2"/>
        <charset val="1"/>
      </rPr>
      <t xml:space="preserve">Add </t>
    </r>
    <r>
      <rPr>
        <sz val="11.5"/>
        <color rgb="FF000000"/>
        <rFont val="Liberation Sans;Arial"/>
        <family val="2"/>
        <charset val="1"/>
      </rPr>
      <t xml:space="preserve">SBUS and CPPM external module options in Trainer.</t>
    </r>
  </si>
  <si>
    <t xml:space="preserve">Move Wireless / BT Telemetry to Telemetry section</t>
  </si>
  <si>
    <t xml:space="preserve">Add Timer pause and Instant Trim</t>
  </si>
  <si>
    <t xml:space="preserve">Add Clone option to VARs, update multiple Voice section, update Mixer renamed as Mixes</t>
  </si>
  <si>
    <t xml:space="preserve">Move Lua Sources to new Lua page, replace Outputs images (Mixer to Mixes)</t>
  </si>
  <si>
    <t xml:space="preserve">Update tutorials with Mixes changes</t>
  </si>
  <si>
    <t xml:space="preserve">Review additional 1.5.0 changes, update new timer operation and audio actions</t>
  </si>
  <si>
    <t xml:space="preserve">Rearrange General section, Display and Audio subparts swapped around</t>
  </si>
  <si>
    <t xml:space="preserve">Elaborate on new Custom Trims</t>
  </si>
  <si>
    <t xml:space="preserve">Revise internal calculation value example, update widgets</t>
  </si>
  <si>
    <t xml:space="preserve">Update screenshots due to revised en.txt phrases</t>
  </si>
  <si>
    <t xml:space="preserve">Add send/receive files via Bluetooth to File Manager section, </t>
  </si>
  <si>
    <t xml:space="preserve">Add LSW ‘Max duration’ parameter, update screenshots. Analyse new closed issues.</t>
  </si>
  <si>
    <t xml:space="preserve">Add file send/receive via Bluetooth option.</t>
  </si>
  <si>
    <t xml:space="preserve">Clarify transmitted channels vs receiver options.</t>
  </si>
  <si>
    <t xml:space="preserve">Update timer section including new audio  timer actions. Add notes that ETHOS logic monitors both RSSIs  to be below the threshold setting before it plays the warning message, The same for VFR. </t>
  </si>
  <si>
    <t xml:space="preserve">Update Vars with having one decimal, including images. Clarify adding a redundant receiver. Update ‘Set failsafe’ Special Function.</t>
  </si>
  <si>
    <t xml:space="preserve">Review 1.4.9 changes</t>
  </si>
  <si>
    <t xml:space="preserve">Add ‘When displaying telemetry values, a long press on the sensor after selection allows you to display the min or max value.’ Add ‘Logic switches can be used to compare two same-format sources’. Update Checklist options (No check is honoured when loading all switches and pots.) </t>
  </si>
  <si>
    <t xml:space="preserve">Regress 1.4.9 changes into 1.4.10 manual; Throttle =&gt; Ele, Throttle =&gt; Rud and Butterfly mixes fixed. Please check your setup if you use one of those mixes with a curve! </t>
  </si>
  <si>
    <t xml:space="preserve">Max curves per mix increased to 5 (it was 3); New Switch Condition "Whole telemetry" added; Analyse 1.4.10 issues; Checklist 'Load all ... positions' is inconsistent bug </t>
  </si>
  <si>
    <t xml:space="preserve">Review 1.4.11 changes; fix Device Config move changes; Update overview headings; Update ‘Adding a redundant receiver’ in 1.4.11 manual; Add note re Vars</t>
  </si>
  <si>
    <t xml:space="preserve">Add Pro storage location option; start adding Pro RF section.</t>
  </si>
  <si>
    <t xml:space="preserve">Document TD-ISRM Pro RF module; continue Pro RF section.</t>
  </si>
  <si>
    <t xml:space="preserve">Continue TW Mode of the Pro RF section.</t>
  </si>
  <si>
    <t xml:space="preserve">Add ACCESS and Tandem sections to Pro RF section. Add Pro hardware check, switches settings</t>
  </si>
  <si>
    <t xml:space="preserve">Clarify X20 Pro RF mode combination options; Add X20 Pro ‘Play text’ special function; Add the X20 Pro two additonal trims T5 and T6; Add X20 Pro Info section</t>
  </si>
  <si>
    <t xml:space="preserve">Add ACCST/900M section for X20 Pro; add ACCST only section</t>
  </si>
  <si>
    <t xml:space="preserve">Review 1.4.11 final release; Update Suite Settings page, add Check update button 1.4.11 </t>
  </si>
  <si>
    <t xml:space="preserve">Review and refine ISRM-TD intro; add ADC inspector details for Pro</t>
  </si>
  <si>
    <t xml:space="preserve">The X20 Pro has the facility for two additional pots Ext1 and Ext2. Copy Internal Module TD-ISRM Pro (X20 Pro) section from 1.4.11 to 1.5.0; add Trims to Subtrims to 1.5.0</t>
  </si>
  <si>
    <t xml:space="preserve">Check 1.4.11 rev 1 for release; add X20 Pro layouts</t>
  </si>
  <si>
    <t xml:space="preserve">Clarify use of Flash vs SD Card drives.</t>
  </si>
  <si>
    <t xml:space="preserve">Improve the Lua section; Replace ‘Whole telemetry’ with ‘Telemetry active’ for 1.5.0;</t>
  </si>
  <si>
    <t xml:space="preserve">Review 1.4.12 Release; in Model / RF update the TW mode section for the reorganised lines and replace images due to change of en.txt in 1.4.12 manual; copy same changes to 1.5.0 manual;</t>
  </si>
  <si>
    <t xml:space="preserve">TW</t>
  </si>
  <si>
    <t xml:space="preserve"> in Model / RF update the TD mode section for the reorganised lines and replace images due to change of en.txt in 1.4.12; copy same changes to 1.5.0 manual;</t>
  </si>
  <si>
    <t xml:space="preserve">TD</t>
  </si>
  <si>
    <t xml:space="preserve"> in Model / RF update the ACCESS mode section for the reorganised lines and replace images due to change of en.txt in 1.4.12 manual; copy same changes to 1.5.0 manual;</t>
  </si>
  <si>
    <t xml:space="preserve">ACCESS</t>
  </si>
  <si>
    <t xml:space="preserve"> in Model / RF update the TD-ISRM ACCST, and TD-ISRM Pro D16 only  mode section for the reorganised lines and replace images due to change of en.txt in 1.4.12; copy same changes to 1.5.0 manual;</t>
  </si>
  <si>
    <t xml:space="preserve">ACCST</t>
  </si>
  <si>
    <t xml:space="preserve">D16 only</t>
  </si>
  <si>
    <t xml:space="preserve"> in Model / RF update the ACCST TD-ISRM-Pro ACCST D16 with option for redundant receiver section for the reorganised lines and replace images due to change of en.txt in 1.4.12 manual; copy same changes to 1.5.0 manual;</t>
  </si>
  <si>
    <t xml:space="preserve">D16 redundant</t>
  </si>
  <si>
    <t xml:space="preserve">Add an X20 Pro screenshot for File Manager; update the ‘How to configure a Butterfly mix’ to the update mix and to use a dead band curve; update the Basic Fixed Wing example in step 8 to use the new timer with audio actions.</t>
  </si>
  <si>
    <t xml:space="preserve">Update the ‘How to set up a low battery voltage warning’ to use the new logic switches and special functions e.g. Play Value in the 1.5 manual.</t>
  </si>
  <si>
    <t xml:space="preserve">Correct receivers used for racing mode.</t>
  </si>
  <si>
    <t xml:space="preserve">Update the ‘3. How to set up a battery capacity warning using a calculated sensor’ to use the new logic switches and special functions e.g. Play Value in the 1.5 manual.</t>
  </si>
  <si>
    <t xml:space="preserve">Add Note on compatibility of Registration ID with OpenTX and EdgeTX </t>
  </si>
  <si>
    <t xml:space="preserve">Update Trims section with new trim functionality</t>
  </si>
  <si>
    <t xml:space="preserve">continue Update Trims section with new trim functionality</t>
  </si>
  <si>
    <t xml:space="preserve">Analyse 1.4.13, and 1.4.14 changes; update for new Free mix</t>
  </si>
  <si>
    <t xml:space="preserve">Update Suite with module version and updated screenshots; backup path is now saved per radio type</t>
  </si>
  <si>
    <t xml:space="preserve">Analyse new 1.5.0 issues</t>
  </si>
  <si>
    <t xml:space="preserve">Remove power setting option in 2.4G FSK; Add Note that the widget resets its data on a "Flight Reset”. </t>
  </si>
  <si>
    <t xml:space="preserve">Update the TD-ISRM ACCESS mode in 1.5.0 mnual for the change to the RF Screen UI.</t>
  </si>
  <si>
    <t xml:space="preserve">Update the “ACCST D16 with a 900M receiver option for redundancy” section  in 1.5.0 mnual for the change to the RF Screen UI.</t>
  </si>
  <si>
    <t xml:space="preserve">Update the “TD Mode” section  in 1.5.0 mnual for the change to the RF Screen UI.</t>
  </si>
  <si>
    <t xml:space="preserve">Update the “TW Mode” section  in 1.5.0 mnual for the change to the RF Screen UI. Add option to view text or markdown files. Add that the Throttle Hold value can also come from a source enhancement </t>
  </si>
  <si>
    <t xml:space="preserve">There may be up to 6 curves in a mix. Add trim on/off ability to Ail/Ele/Rud mix. Update throttle mix with trim options  and remove weight/rates function. Analyse issue #160.</t>
  </si>
  <si>
    <t xml:space="preserve">Add Go to Page, Lock screen, and Load Model special functions. Analyse #1533. Remove ‘no telemetry’ phrase from Multimodule. Analyse #2291. Update Play Audio special function. Update the ‘Play sequence’ SF to ‘Play audio’. </t>
  </si>
  <si>
    <t xml:space="preserve">Add microseconds vs % table in Outputs. Add that the new model wizards include optionally setting up pre-set mixes for FrSky stabilized receivers.  </t>
  </si>
  <si>
    <t xml:space="preserve">Post second draft of 1.5.0 manual to rcgroups, post #27067</t>
  </si>
  <si>
    <t xml:space="preserve">Analyse 1.5.0 RC0 changes. Update Suite for changed features.</t>
  </si>
  <si>
    <t xml:space="preserve">Update Suite for changed features continued. Add RF module manager section.</t>
  </si>
  <si>
    <t xml:space="preserve">Analyse 1.4.15 changes; new Suite Image Manager, Audio file manager.</t>
  </si>
  <si>
    <t xml:space="preserve">Analyse new issues in 1.5.0 RC0; Add selection of module to be used for Device Config (Incl S.Port connector on radio) </t>
  </si>
  <si>
    <t xml:space="preserve">Analyse 1.5.0 RC1 changes.</t>
  </si>
  <si>
    <t xml:space="preserve">Update VSpeed section and add new ‘Play vario’ special function.</t>
  </si>
  <si>
    <t xml:space="preserve">Add ability to flash IRX4 Lite Multimodule as external module; Add ‘Load model’ special function; update the ‘Edit model’ images, including adding 5V control of the SPort connector.</t>
  </si>
  <si>
    <t xml:space="preserve">Major update to Trims section, completely revised.</t>
  </si>
  <si>
    <t xml:space="preserve">Analyse 1.5.0 RC1, RC2, RC3 changes. Continue Major update to Trims section,</t>
  </si>
  <si>
    <t xml:space="preserve">Invoice to be sent</t>
  </si>
  <si>
    <t xml:space="preserve">Complete Major update to Trims section; add Remote NFC switch to Device Config; add Log Viewer</t>
  </si>
  <si>
    <t xml:space="preserve">Sensor lost warning increased to 10s by default and 30s maximum; Function Switches reset on Flight Reset; Audio Sequence can have up to 100 lines now </t>
  </si>
  <si>
    <t xml:space="preserve">Update Ethos Suite to RC0-RC4</t>
  </si>
  <si>
    <t xml:space="preserve">Analyse 1.5.0 RC4, RC5, RC6, RC7  changes.; Rename Invert parameter in Outputs to Reverse (enhancement); Add note “Please note that if Brightness (for backlight ON) = ‘Sleep mode brightness’ (for backlight OFF) then the touchscreen stays active.” ; The "sensor-lost" audio message is played only once when many sensors are lost simultaenously. ; Add the External module pinout diagram. ; The internal and external RF modules can be disabled by holding the page key down during system power up. </t>
  </si>
  <si>
    <t xml:space="preserve">Update How To item 7 ‘How to configure an FBUS system’ for the latest operation.</t>
  </si>
  <si>
    <t xml:space="preserve">Add X18 layout drawing; add X18 details to T5 and T6 trims; Add note to Function Switches to denote X20 series only ; upload rev4 of manual</t>
  </si>
  <si>
    <t xml:space="preserve">Analyse 1.5.0 RC8, 1.5.1 changes; Restore original ‘Trims to subtrims’ description after issue #3507 fix; Analyse 1.5.2 changes; Add missing Differential heading p299; Add new Trim parameter and updated screenshot. P300;</t>
  </si>
  <si>
    <t xml:space="preserve">Audio packs will all include a "default" folder in order to avoid conversions issues from 1.4.X </t>
  </si>
  <si>
    <t xml:space="preserve">Clarify that here is no need to select each model after an update because the conversion can take place at a later date when they are selected, even with a later release of Ethos. ;  The Rudders mix will only have the Differential parameter if the model is configured for V-tail. ; A trim may be assigned to a free mix by using the trimmer as a source for the Offset parameter. ; Add another note that ‘The text file should be placed in a folder named documents/user.’ 
Analyse 1.5.3; Update Trims section with new images for additional Audio parameter; New feature: For each trim Audio can be disabled if the standard trim announcements are not desired, for example if the trim has been repurposed. 
Revised Free Mix with new Directions Top/Bottom/Right/Left.</t>
  </si>
  <si>
    <t xml:space="preserve">Analyse 1.5.3</t>
  </si>
  <si>
    <t xml:space="preserve">Reset factory settings added to System / Information page; </t>
  </si>
  <si>
    <t xml:space="preserve">continue How To section 10;</t>
  </si>
  <si>
    <t xml:space="preserve">Analyse 1.5.4; New "Full range" option added to Trim sources - #3724; Colors added to Outputs in Mixes, to match the graph colors - Fixes #3700; ETHOS Suite doesn't back up model .txt files to .zip enhancement to Suite </t>
  </si>
  <si>
    <t xml:space="preserve">add new How To section; 10. How to configure a Flap compensation curve using adaptive trim.</t>
  </si>
  <si>
    <t xml:space="preserve">complete new section 10.; analyse 1.5.5 pre-release;</t>
  </si>
  <si>
    <t xml:space="preserve">Analyse 1.4.17; Audio file "Inactivity for long time" changed to "Prolonged inactivity"; Repurpose trim’ has been renamed to ‘Repurpose’.</t>
  </si>
  <si>
    <t xml:space="preserve">Analyse 1.5.7; label PAGE button in layout diagrams.</t>
  </si>
  <si>
    <t xml:space="preserve">Update the Calculated sensor section with changed settings</t>
  </si>
  <si>
    <t xml:space="preserve">Outputs parameters now have ‘Use a source’ options, allowing use of Vars etc.</t>
  </si>
  <si>
    <r>
      <rPr>
        <sz val="10"/>
        <rFont val="Arial"/>
        <family val="2"/>
        <charset val="1"/>
      </rPr>
      <t xml:space="preserve">Rationalize references to </t>
    </r>
    <r>
      <rPr>
        <sz val="10"/>
        <color rgb="FF000000"/>
        <rFont val="Verdana"/>
        <family val="1"/>
        <charset val="1"/>
      </rPr>
      <t xml:space="preserve">X18/S, TW Lite, XE, X20 Pro/R/RS; Add note; “Attention! In this manual and the radio menus ‘900M’ is a generic term denoting the VHF band used. The actual operating frequencies are 915Mhz for FCC or 868Mhz for LBT as applicable to the user’s country of operation.; analyse 1.5.7 pre-release notes; Add new section on Flex firmware options</t>
    </r>
  </si>
  <si>
    <t xml:space="preserve">Improve the Lua Development Tools debug section with an example.</t>
  </si>
  <si>
    <t xml:space="preserve">Update the 900M Power sections; Label PAGE button, Enter button and Rotary Encoder in layout diagrams; Release 1.5.7 manual with changes list.</t>
  </si>
  <si>
    <t xml:space="preserve">Add navigation details to the System Setup overview; Add Spanish, Portuguese and Slovenian to Suite language choice; Revise the section on updating the bootloader if Suite is not available.</t>
  </si>
  <si>
    <t xml:space="preserve">Update How To section 8: ‘How to test a redundant receiver’ with the new test procedure using the Reset Bind function.</t>
  </si>
  <si>
    <t xml:space="preserve">Analyse 1.5.8; Asterisk icon in the top bar to show Lua / Radio errors feature; Offer a standard user simple feedback when a lua script produces errors enhancement</t>
  </si>
  <si>
    <t xml:space="preserve">Allow the user to test the Emergency Mode – enhancement; Update Trims summary in overview.; Swap channels function added to Model / Outputs feature</t>
  </si>
  <si>
    <t xml:space="preserve">Analyse 1.5.8 additions; Update the ‘Basic Fixed Wing Airplane example’ with 1.5.8 and earlier changes; Update the ‘Basic Heli example’ with 1.5.8 and earlier changes</t>
  </si>
  <si>
    <t xml:space="preserve">Update the ‘Basic Flying Wing (Elevon) Airplane example’ with 1.5.8 and earlier changes; analyse final 1.5.8 changes; When selecting ALWAYS ON as DISPLAY WAKE UP option, the SLEEP option should be grey as not selectable.; Logic Switches may request a Confirmation (ON / OFF) in addition to the Delay (ON / OFF); unify filenames in Feedback page</t>
  </si>
  <si>
    <t xml:space="preserve">Correct Swap feature in Outputs; publish manual to manual check group.</t>
  </si>
  <si>
    <t xml:space="preserve">Update the ‘Procedure for migrating to Ethos Suite’ item 3 for updating the bootloader manually.</t>
  </si>
  <si>
    <t xml:space="preserve">Update for new number value controls</t>
  </si>
  <si>
    <t xml:space="preserve">Show graph in Free Mix action sub-dialogs enhancement</t>
  </si>
  <si>
    <t xml:space="preserve">Analyse 1.5.9, 1.5.10 changes; Show graph in Free Mix action sub-dialogs enhancement continued; update the FrSky external module section</t>
  </si>
  <si>
    <t xml:space="preserve">More home screen layouts feature; analyse more 1.5.10 changes, Add comments for VARS enhancement</t>
  </si>
  <si>
    <t xml:space="preserve">New ETHOS Feature - More Screens With Details Fields; Update How To ‘How to reorder channels e.g. for SR8/SR10’ with new channel swap function.</t>
  </si>
  <si>
    <t xml:space="preserve">Analyse new 1.5.10 items; Image viewer added</t>
  </si>
  <si>
    <t xml:space="preserve">"Ignore range" option added to Vars to avoid the range conversion </t>
  </si>
  <si>
    <t xml:space="preserve">Analyse new 1.5.10 items;</t>
  </si>
  <si>
    <t xml:space="preserve">Analyse last 1.5.10 items;</t>
  </si>
  <si>
    <t xml:space="preserve">Finalise and publish 1.5.10 manual </t>
  </si>
  <si>
    <t xml:space="preserve">Analyse 1.5.11, Suite 1.5.6, Suite 1.5.7; update Suite</t>
  </si>
  <si>
    <t xml:space="preserve">Correct X20 Pro front layout image (better antenna placement info); Add X20 Pro AW layout</t>
  </si>
  <si>
    <t xml:space="preserve">Analyse last 1.5.12 pre-release; Update the ‘Edit model’ images;  Add new feature “New radio timer: whole radio time”; Add new feature “New radio timer: whole model time”; Proposed enhancement (UI): Indication of reversed channels in Outputs screen enhancement </t>
  </si>
  <si>
    <t xml:space="preserve">Update for Suite 1.5.9</t>
  </si>
  <si>
    <t xml:space="preserve">Update for Suite 1.5.9 continued</t>
  </si>
  <si>
    <t xml:space="preserve">Clarify FSK and LoRa terms; publish 1.5.12 manual</t>
  </si>
  <si>
    <t xml:space="preserve">Analyse 1.5.13, 1.5.14, 1.5.15 changes; update home keymap; Lua error reset button, radio runtime reset button; add note about Pre-Releases; Special Function Wait duration can be up to 10 minutes. Special Function ‘Play Value’ can have a repeat time of up to 600s. </t>
  </si>
  <si>
    <t xml:space="preserve">Publish 1.5.15 manuals.</t>
  </si>
  <si>
    <t xml:space="preserve">Develop Free mix screenshots macro; Update Free Mix to latest including external image links</t>
  </si>
  <si>
    <t xml:space="preserve">Develop Mixes screenshots macro; Update Mixes to latest including external image links</t>
  </si>
  <si>
    <t xml:space="preserve">Continue to update Mixes to latest including external image links; Develop Flight Modes screenshots macro; Update Flight Modes to latest including external image links</t>
  </si>
  <si>
    <t xml:space="preserve">Develop Edit screenshots macro; Update Model-Edit to latest including external image links</t>
  </si>
  <si>
    <t xml:space="preserve">Develop Model Select screenshots macro; Update Model Select to latest  including external image links</t>
  </si>
  <si>
    <t xml:space="preserve">Update Main Views, UI, System General to latest  including external image links</t>
  </si>
  <si>
    <t xml:space="preserve">Update System Battery, Hardware, Stick, Device Config, Info to latest  including external image links</t>
  </si>
  <si>
    <t xml:space="preserve">Develop Timers and Trims screenshots macro; Update Timers to latest including external image links; Update Trims to latest including external image links</t>
  </si>
  <si>
    <t xml:space="preserve">Complete Update Trims to latest including external image links</t>
  </si>
  <si>
    <t xml:space="preserve">Generate screenshots macro for Outputs. Generate screenshots macro for Curves.</t>
  </si>
  <si>
    <t xml:space="preserve">Complete Update Outputs to latest including external image links; Complete Update Curves to latest including external image links; </t>
  </si>
  <si>
    <t xml:space="preserve">Invoice sent 18 Oct 2024</t>
  </si>
  <si>
    <t xml:space="preserve">Analyse 1.5.16 changes</t>
  </si>
  <si>
    <t xml:space="preserve">Update Ethos Suite Image Manager for Suite 1.5.10; Update Ethos Suite Audio Manager for Suite 1.5.10; Update Curvez for new curve features inclusing macro</t>
  </si>
  <si>
    <t xml:space="preserve">Develop Checklist screenshots macro;</t>
  </si>
  <si>
    <t xml:space="preserve">Develop Logic Switches screenshots macro;</t>
  </si>
  <si>
    <t xml:space="preserve">Develop Special Functions screenshots macro;</t>
  </si>
  <si>
    <t xml:space="preserve">Add Checklist screenshots to manual; Add LSW screenshots to manual; Add SF screenshots to manual</t>
  </si>
  <si>
    <t xml:space="preserve">Analyse 1.5.18 changes; publish 1.5.18 to github.</t>
  </si>
  <si>
    <t xml:space="preserve">Develop Vars screenshots macro;</t>
  </si>
  <si>
    <t xml:space="preserve">Develop Trainer screenshots macro;</t>
  </si>
  <si>
    <t xml:space="preserve">Add Vars screenshots to manual; Add Trainer screenshots to manual;</t>
  </si>
  <si>
    <t xml:space="preserve">Develop View per Channel screenshots macro; Add View per Channel screenshots to manual;</t>
  </si>
  <si>
    <t xml:space="preserve">Update 1.5.18rev3 to rev4</t>
  </si>
  <si>
    <t xml:space="preserve">Develop Config Screens screenshots macro;</t>
  </si>
  <si>
    <t xml:space="preserve">Add Config Screens screenshots to manual;</t>
  </si>
  <si>
    <t xml:space="preserve">Convert screenshot macros to Ethos 1.6 (17 macros affected)</t>
  </si>
  <si>
    <t xml:space="preserve">Add negative option for trims; add AW encoder half-steps</t>
  </si>
  <si>
    <t xml:space="preserve">Correct 18.1 image to ‘source-2pos-options.png’; Improve the delta wing section; add a control flow overview</t>
  </si>
  <si>
    <t xml:space="preserve">Add a How To number 11: “How to configure instant take-back for the trainer function.”</t>
  </si>
  <si>
    <t xml:space="preserve">Add the new Trim free mix action (easier than adding a trim under the Offset action).</t>
  </si>
  <si>
    <t xml:space="preserve">Macro fixes for 1.6.0 RC6</t>
  </si>
  <si>
    <t xml:space="preserve">The trim direction can be changed by selecting ‘Negative’; review RC6 and RC7 changes.</t>
  </si>
  <si>
    <t xml:space="preserve">Update the Ethos Suite section for 1.6.0</t>
  </si>
  <si>
    <t xml:space="preserve">Review 1.6.0 full release for changes; update Ethos Suite for v3.0.1 changes; replace imageconversion tool. Links with link to Image manager in Suite;</t>
  </si>
  <si>
    <t xml:space="preserve">Support for DIY sensor in Device Config added. DIY will appear under device category if a DIY sensor is detected.; Add ‘RAM available Shows the system RAM available. This is useful for checking for misbehaving Lua scripts. This is also available as a System Value so it can be displayed in a widget for example. ‘; Elaborate on system values (e.g. main radio voltage, RTC battery voltage, clock (i.e real time), RAM available); Add “Failsafe data is sent from the transmitter approximately every 10 seconds. Please note that for TD, TW, AP and AP Plus receivers the failsafe data is now saved on the receiver, which means the failsafe settings are instantly available if the receiver reboots for any reason.”; Failsafe data is sent from the transmitter approximately every 10 seconds.”; Add Note: For special applications it is possible to have sensors with the same Application ID and different Physical IDs when the sensor conflict warning is disabled.; Add ‘It will also give an alert when no RSSI sensors are discovered.’; Note that the TD, TW, AP and AP Plus receivers have a new "Rx VFR" telemetry value (if a frame is received only on one band, it is considered as received at Rx level); Add ‘Ethos 1.6.0 offers significant improvements, but the internal RD module and TD/TW/AP/AP Plus receivers have to be upgraded to v3.0.1 to make use of the them.’;  The server will be reset to FrSky server in the Suite ‘Server location’ (just this time). And it will be saved after modification</t>
  </si>
  <si>
    <t xml:space="preserve">Update section on Rx VFR with new information from Mike Dailey. Update Suite sections to match. Add receiver example under the new Device Config</t>
  </si>
  <si>
    <t xml:space="preserve">Update manual to rev4. Add configuration save/load detail in Device Config. Add ‘ Note that the Failsafe function must be reset and checked carefully after upgrading receivers.’ Add ‘Note that the Failsafe function must be reset and checked after upgrading receivers with this feature.’ </t>
  </si>
  <si>
    <t xml:space="preserve">Create screenshots macro for glider, heli, multirotor mixes library</t>
  </si>
  <si>
    <t xml:space="preserve">Create macro for Basic Fixed Wing example incl wizard, ail and ele mixes</t>
  </si>
  <si>
    <t xml:space="preserve">cont. with throttle, flaps mix and outputs </t>
  </si>
  <si>
    <t xml:space="preserve">Add ‘Stabilized receiver’ subsection in new model wizard; Add channel reassignment subsection in new model wizard; Replace fixed wing tutorial section images with new external images</t>
  </si>
  <si>
    <t xml:space="preserve">Continue Replace fixed wing tutorial section images with new external images</t>
  </si>
  <si>
    <t xml:space="preserve">Create screenshots macro for basic wing example.</t>
  </si>
  <si>
    <t xml:space="preserve">Replace basic wing tutorial section images with new external images; Create screenshots macro for basic wing example.</t>
  </si>
  <si>
    <t xml:space="preserve">Replace basic wing tutorial section images with new external images; </t>
  </si>
  <si>
    <t xml:space="preserve">Review 1.6.1 RC1 changes; update Log Viewer, update </t>
  </si>
  <si>
    <t xml:space="preserve">Review 1.6.1 RC2/3 changes; add New feature: Individual RSSI alert per band</t>
  </si>
  <si>
    <t xml:space="preserve">Add a new “How to” section 12:  How to find the latest Bootloader or other component for your radio; Add: Note: Both the Bootloader and the system firmware are stored in the internal flash memory on all FrSky Radios back to the original X9D.; Add: Note: The older legacy receivers and the Archer &amp; Archer Pro receivers use the SxR option. In addition receivers such as the SR10 Pro, even though named SRx instead of SxR and have Gain assigned to channel 9, use the SxR option. The newer receivers with "Advanced stabilization" and have the Gain control on channel 13 use the ‘Stabilizer config’ option.;</t>
  </si>
  <si>
    <t xml:space="preserve">Create screenshots macro for How To 1 “How to set up a low battery voltage warning”</t>
  </si>
  <si>
    <t xml:space="preserve">Create screenshots macro for How To 3 “How to set up a battery capacity warning using a calculated sensor”</t>
  </si>
  <si>
    <t xml:space="preserve">Replace screenshots with external screenshots for How To 1 “How to set up a low battery voltage warning”</t>
  </si>
  <si>
    <t xml:space="preserve">Replace screenshots with external screenshots for How To 3  “How to set up a battery capacity warning using a calculated sensor”</t>
  </si>
  <si>
    <t xml:space="preserve">Create screenshots macro for How To 6 “How to configure a Butterfly (aka Crow) mix”; Create screenshots macro for How To 10  “How to configure an in-flight adjustable flap compensation curve”</t>
  </si>
  <si>
    <t xml:space="preserve">Replace screenshots with external screenshots for How To 6 “How to configure a Butterfly (aka Crow) mix”</t>
  </si>
  <si>
    <t xml:space="preserve">Revise Sticky section for new edge function</t>
  </si>
  <si>
    <t xml:space="preserve">Revise LSW screenshots macro for new Sticky</t>
  </si>
  <si>
    <t xml:space="preserve">Update 1.6.2 manual for new Sticky</t>
  </si>
  <si>
    <t xml:space="preserve">Update the How To section 7 “How to configure an FBUS system” for the new ability to configure XAct servos from the S.Port connector on the Tx;</t>
  </si>
  <si>
    <t xml:space="preserve">Invoice sent 2025-04-15, paid 29/4/25</t>
  </si>
  <si>
    <t xml:space="preserve"> Continue with Update the How To section 7 “How to configure an FBUS system” for the new ability to configure XAct servos from the S.Port connector on the Tx;Review 1.6.2 RC1 and RC2 changes; update Device Config for S.Port from Tx</t>
  </si>
  <si>
    <t xml:space="preserve">Create screenshots macro for Telemetry</t>
  </si>
  <si>
    <t xml:space="preserve">Create screenshots macro for Telemetry cont.</t>
  </si>
  <si>
    <t xml:space="preserve">Replace screenshots with external screenshots for Telemetry; publish the 1.6.2rev4 manual to ethos-manual on github.</t>
  </si>
  <si>
    <t xml:space="preserve">Add additional model wizard steps; improve Lua scripts menu</t>
  </si>
  <si>
    <t xml:space="preserve">Debug macros for Ethos changes impacting some screenshots.</t>
  </si>
  <si>
    <t xml:space="preserve">Modify macro for model-fm to add trims option to fixed wing example</t>
  </si>
  <si>
    <t xml:space="preserve">Update fixed wing example to add trims option to fixed wing example</t>
  </si>
  <si>
    <t xml:space="preserve">Review 1.6.3 changes so far.</t>
  </si>
  <si>
    <t xml:space="preserve">Improve the editing controls section.</t>
  </si>
  <si>
    <t xml:space="preserve">Review 1.6.3 changes so far. Add “ the Battery warning is repeated every minute, even if the Warning dialog is opened.”</t>
  </si>
  <si>
    <t xml:space="preserve">Develop macro for mix examples for LSW’s using telemetry; In Outputs add a note “Note that a channel not assigned to any mix will have an output at neutral = 0% = 1500us. The same applies when a channel’s mix or mixes are inactive, so care must be taken to ensure that used channels always have an active mix. A throttle channel at neutral = 0% = 1500us will be at half throttle!!” In Instant Trim section add “Please note that Instant Trim is only active when you are on one of the main views. “ Replace ‘1000mW’ with ‘10mW~1W (Self-adaptive)’ In the ‘Logic switches – use with telemetry’ section, add a warning for LSW’s using telemetry ; FrSky redundancy for control is always evaluated per-frame, with the best frame chosen. But with 2 good frames, the receiver will pick the its internal good frame. Therefore control can switch as needed on every frame (active/active failover).; Under ‘Range check’ add The FrSky Range check level is 0,1mW ( -10dB) not 1mW ( 0dB) The Normal level is +18dB +2dB for the antennae = +20dB  </t>
  </si>
  <si>
    <t xml:space="preserve">Review 1.6.3 changes final.</t>
  </si>
  <si>
    <t xml:space="preserve">Review 1.7.0 closed issues so far.</t>
  </si>
  <si>
    <t xml:space="preserve">Update 1.6.3 manual with changes from Ethos Suite 1.6.1 and 1.6.2; publish 1.6.3 rev 0 manual</t>
  </si>
  <si>
    <t xml:space="preserve">Update the model-mixes-free.lua macro for Update order of free mix curve actions to always obey the recommended order of Slow, Curve, Weight, Differential, Offset and Trim. Add 3 new screenshots and 3 updated screenshots.</t>
  </si>
  <si>
    <t xml:space="preserve">Update model-mixes macro to new Ethos 1.7 source select; 
Also system-menu.lua; Also model-mixes.lua; 
Also basic-example.lua; </t>
  </si>
  <si>
    <t xml:space="preserve">Update user-interface.lua macro to new Ethos 1.7 source select;</t>
  </si>
  <si>
    <t xml:space="preserve">Update  model-fm.lua macro to new Ethos 1.7 source select; 
Also model-timers.lua</t>
  </si>
  <si>
    <t xml:space="preserve">Update model-trims.lua macro to new Ethos 1.7 source select; 
Also model-vars.lua;</t>
  </si>
  <si>
    <t xml:space="preserve">Update display.lua macro to new Ethos 1.7 source select; 
Also model-blanks.lua;</t>
  </si>
  <si>
    <t xml:space="preserve">Update model-LSW.lua macro to new Ethos 1.7 source select; 
Also model-mix-eg.lua;</t>
  </si>
  <si>
    <t xml:space="preserve">Adapt the model-trainer.lua macro to new Ethos 1.7 source select; Update the Trainer section for the revised BT stack operation. Also model-sf.lua;</t>
  </si>
  <si>
    <t xml:space="preserve">Update wing-example.lua macro to new Ethos 1.7 source select; Also heli-example.lua; Also model-blanks fix for mixes libraries.</t>
  </si>
  <si>
    <t xml:space="preserve">Update howto1-lobatt.lua macro to new Ethos 1.7 source select;</t>
  </si>
  <si>
    <t xml:space="preserve">Update the model-mixes-free.lua macro for new mix add button; Update howto3-consump.lua macro to new Ethos 1.7 source select; adapt model-blanks.lua  to new '+' add button for mixes, lsw, sf, vars </t>
  </si>
  <si>
    <t xml:space="preserve">Adapt basic-example.lua to new '+' button for add mix</t>
  </si>
  <si>
    <t xml:space="preserve">model-mixes-free.lua -- add final screenshot showing free mix output parameters; 
model-blanks.lua -- complete full comments;
heli-example.lua -- complete full comments;
wing-example.lua -- update comments, replace touch ENT with key ENT</t>
  </si>
  <si>
    <t xml:space="preserve">how-to-in-flight-comp.lua -- update comments, replace touch ENT with key ENT</t>
  </si>
  <si>
    <t xml:space="preserve">how-to-butterfly.lua -- new 1.7 source select and add comments;
ng2.bin swap ail and flap channels so ch1 is left etc;
proshots.lua -- new 1.7 source select and add comments</t>
  </si>
  <si>
    <t xml:space="preserve">model-mixes.lua -- add missing comments;
model-fm.lua -- add new '+' fm button changes, and missing comments;
update rarebear.bin model for working lsw;
model-fm.lua -- add more missing comments</t>
  </si>
  <si>
    <t xml:space="preserve">model-lsw.lua -- add '+' lsw button and missing comments;
model-mixes-eg.lua -- adapt for '+' add and add comments;
model-sf.lua -- adapt for '+' add sf and add comments;
proshots.lua -- remove the proaw section</t>
  </si>
  <si>
    <t xml:space="preserve">model-trainer.lua -- adapt to new '+' add button and add comments;
model-vars.lua -- adapt to '+' add button and add comments;
system-menu.lua -- remove Flash related code and add missing comments;
user-interface.lua -- fix switch-options.png and comments</t>
  </si>
  <si>
    <t xml:space="preserve">model-telemetry.lua -- adapt to 1.7 source select, new '+' add buttons and comments;
model-outputs.lua -- adapt macro to new Ethos 1.7 source select, add comments;
x20proaw.lua -- adapt to 1.7 source select, new '+' add buttons and comments;
magnus.bin -- recreate Magnus as basic glider model for use with model-outputs.lua;
zBalance.bin -- recreate zBalanace as basic glider model with 4 ail for use with model-outputs.lua;
model-lua.lua -- adapt to 1.7, add comments;
model-chview.lua -- adapt macro to new Ethos 1.7, add comments</t>
  </si>
  <si>
    <t xml:space="preserve">Update manual for new ‘+’ button and removal of ‘Add’ in menus</t>
  </si>
  <si>
    <t xml:space="preserve">Continue with: Update manual for new ‘+’ button and removal of ‘Add’ in menus</t>
  </si>
  <si>
    <t xml:space="preserve">Add new throttle input long press options ‘Positive’ and ‘Negative’.
Add Copy/Paste for SF's and VAR's #5369
Add Bluetooth audio module option for X20, X20R, X20RS, 1.7.0, #539
Add details for the transmitter S.Port options;
Add system value ‘radio runtime’	1.7.0, #5489 ;
Update the Trainer section for the revised BT operation.	1.7.0, #5369 </t>
  </si>
  <si>
    <t xml:space="preserve">In Ethos 1.7 channels are now assigned from left to right, instead of from right to left as happened previously.</t>
  </si>
  <si>
    <t xml:space="preserve">add .gitignore file to ethos-manual so .sh files have lf not crlf</t>
  </si>
  <si>
    <t xml:space="preserve">Review 1.6.4 changes for manual; Screenshots are now stored in .png format.;</t>
  </si>
  <si>
    <t xml:space="preserve">Debug eerors resulting from sim changes </t>
  </si>
  <si>
    <t xml:space="preserve">display.lua -- add bottombar-glider.png
model-blanks.lua -- add bottombar-heli.png and bottombar-multirotor.png
model-mixes-free.lua -- add 'model-mix-free-source-categories.png' and 'model-mix-free-source-categories-2.png'
geronimo.bin -- change logic switch timings from 7 &amp; 11s to 9 and 13s to prevent timer log overflow</t>
  </si>
  <si>
    <t xml:space="preserve">zbalance.bin -- adapt model for tdsr18 channels
model-outputs.lua -- adapt multi ch balance to td sr12
model-edit.lua -- add model-edit-thr-deadband.png</t>
  </si>
  <si>
    <t xml:space="preserve">add 'model-mix-free-source-categories.png' and 'model-mix-free-source-categories-2.png'; categories are now identied by a special icon prefix to distinguish them from user named items in selection lists. Review further 1.6.4 and 1.7.0 changes.</t>
  </si>
  <si>
    <t xml:space="preserve">Update the section on upgrading models from 1.6.3 to 1.7.0; Add “Appendix A - Conversion of Ethos models from 1.6.3 to 1.7.0”</t>
  </si>
  <si>
    <t xml:space="preserve">Update Model / Edit for the new throttle deadband including screenshots. 
Update System / File Manager for new file manager menu and sort options.</t>
  </si>
  <si>
    <t xml:space="preserve">Review 1.7.0 closed issues.</t>
  </si>
  <si>
    <t xml:space="preserve">Paid 8/1/2026 into NAB Isaver </t>
  </si>
  <si>
    <t xml:space="preserve">Add new feature to select a number as the source to a free mix, issue #5680; Also adapt the model-mixes-free screenshots macro;</t>
  </si>
  <si>
    <t xml:space="preserve">Update basic-example.lua macro -- adapt for value edit options</t>
  </si>
  <si>
    <t xml:space="preserve">Create how-to-gear-seq.lua macro, and update model-mixes.lua macro.</t>
  </si>
  <si>
    <t xml:space="preserve">Update how-to-butterfly.lua macro – adapt for use a source options and new curve parameter order</t>
  </si>
  <si>
    <t xml:space="preserve">model-curves.lua -- adapt to new curves parameter order</t>
  </si>
  <si>
    <t xml:space="preserve">Add new sequencer mix</t>
  </si>
  <si>
    <t xml:space="preserve">Add How To section ‘13. How to configure a gear door and landing gear sequencer’</t>
  </si>
  <si>
    <t xml:space="preserve">model-curves.lua -- remove set 1% steps
model-mixes-free.lua -- remove set 1% steps
model-vars.lua -- remove set 1% steps</t>
  </si>
  <si>
    <t xml:space="preserve">model-lsw.lua -- add simulator.touch(32, 453) -- set back to 0.1 steps due to bug, also scroll to use a source</t>
  </si>
  <si>
    <t xml:space="preserve">telemetry.lua -- adapt for BT removed from this screen</t>
  </si>
  <si>
    <t xml:space="preserve">how-to-low-batt.lua -- adapt for BT removal in Telemetry
how-to-consumtion.lua -- adapt for BT removal in Telemetry
user-interface.lua -- adapt for BT removal in Telemetry
model-edit.lua -- adapt for SPort removal in Edit Model</t>
  </si>
  <si>
    <t xml:space="preserve">Create new model-links macro</t>
  </si>
  <si>
    <t xml:space="preserve">Add new Model / Links page.</t>
  </si>
  <si>
    <t xml:space="preserve">Continue Model/Links section for BT</t>
  </si>
  <si>
    <t xml:space="preserve">model-lsw.lua revert step size to 0.1</t>
  </si>
  <si>
    <t xml:space="preserve">Update the model-trims macro for the new trims options. Upadter the manual as well.</t>
  </si>
  <si>
    <t xml:space="preserve">Update Model Links for selectable SPort connector power control</t>
  </si>
  <si>
    <t xml:space="preserve">Review latest closed issues for 1.7.0</t>
  </si>
  <si>
    <t xml:space="preserve">modelselect.lua -- add clone options</t>
  </si>
  <si>
    <t xml:space="preserve">Document the new Simulator in Ethos Suite.</t>
  </si>
  <si>
    <t xml:space="preserve">model-select.lua -- add simulation for model send and receive</t>
  </si>
  <si>
    <t xml:space="preserve">model-links.lua changes due to revised BT</t>
  </si>
  <si>
    <t xml:space="preserve">system-menu.lua changes due to revised BT</t>
  </si>
  <si>
    <t xml:space="preserve">update X20S_radio_backup_FR.zip and JP.zip with rearebear.bin</t>
  </si>
  <si>
    <t xml:space="preserve">model-sf.lua adapt for new SF workflow</t>
  </si>
  <si>
    <t xml:space="preserve">model-select.lua add another ack at end of model re</t>
  </si>
  <si>
    <t xml:space="preserve">model-mixes.lua add missing RTN line 144</t>
  </si>
  <si>
    <t xml:space="preserve">Adapt how-to-consumption.lua for SF changes.</t>
  </si>
  <si>
    <t xml:space="preserve">how-to-low-batt.lua adapt for SF workflow change</t>
  </si>
  <si>
    <t xml:space="preserve">Review closed issues and change to Ethos v26.1.0; update the Links section for the Activelook glasses option. </t>
  </si>
  <si>
    <t xml:space="preserve">Rewrite the reverted Trainer macro and update the Trainer section in the manual with 5 method options.</t>
  </si>
  <si>
    <t xml:space="preserve">Rewrite the reverted Trainer section with 5 method options continued</t>
  </si>
  <si>
    <t xml:space="preserve">Write the new Glasses macro and update the manual.</t>
  </si>
  <si>
    <t xml:space="preserve">Rewrite the Model Telemetry macro for the new tabs</t>
  </si>
  <si>
    <t xml:space="preserve">Add the Settings tab for Model Telemetry; Update Glasses for scroll bug fix and add VFR widget.</t>
  </si>
  <si>
    <t xml:space="preserve">Adapt trainer-take-back.lua for new ignore trainer symbol</t>
  </si>
  <si>
    <t xml:space="preserve">Rewrite the Telemetry chapter of the manual using the new tabs.</t>
  </si>
  <si>
    <t xml:space="preserve">Telemetry rewrite continued</t>
  </si>
  <si>
    <t xml:space="preserve">Add new section “Rearranging the model menu”</t>
  </si>
  <si>
    <t xml:space="preserve">Adapt the display.lua macro for the Configure Screens the new style.</t>
  </si>
  <si>
    <t xml:space="preserve">Adapt the Configure Screens chapter to the new style.</t>
  </si>
  <si>
    <t xml:space="preserve">model-edit.lua adapt for ethos26 style, restore s.port options 
model-fm.lua update images for ethos26 style only, no change to macro 
model-mixes.lua update images for ethos26 style only, no change to macro 
model-mixes-free.lua update images for ethos26 style only, no change to macro 
model-mix-eg.lua update images for ethos26 style only, no change to macro 
model-outputs.lua update images for ethos26 style only, no change to macro 
model-timers.lua update images for ethos26 style only, no change to macro 
model-trims.lua update images for ethos26 style only, no change to macro
model-sf.lua update images for ethos26 style only, no change to macro 
model-curves.lua update images for ethos26 style only, no change to macro 
model-vars.lua update images for ethos26 style only, no change to macro 
user-interface.lua update for ethos26 style 
toolbars.lua update images only, no change to macro 
basic-example.lua update images only, no change to macro</t>
  </si>
  <si>
    <t xml:space="preserve">Restore the S.Port connector option in Model Edit
wing-example.lua update images only, no change to macro 
heli-example.lua update images only, no change to macro 
how-to-low-batt.lua update for ethos26 style 
how-to-consumption.lua update for ethos26 style</t>
  </si>
  <si>
    <t xml:space="preserve">model-glasses.lua correct last line to use RTN</t>
  </si>
  <si>
    <t xml:space="preserve">how-to-consumption.lua adapt for only 1 voice and images</t>
  </si>
  <si>
    <t xml:space="preserve">Update the Sport 5V power options 
Add the “FBUS via S.Port connector” option </t>
  </si>
  <si>
    <t xml:space="preserve">model-edit.lua revert s.port to previous and remove unnecessary screenshots 
telemetry.lua adapt for fbus via sport connector and long press options </t>
  </si>
  <si>
    <t xml:space="preserve">user-interface.lua -- adapt for fn sw's added to source categories  
display.lua -- adapt for fn sw's added to source categories  
how-to-butterfly.lua -- adapt for fn sw's added to source categories  
how-to-consumption.lua -- adapt for fn sw's added to source categories  
how-to-low-batt.lua -- adapt for fn sw's added to source categories  
model-glassses.lua -- adapt for fn sw's added to source categories  
model-mix-eg.lua -- adapt for adding fn sw's to source categories, adapt to long press options  
telemetry.lua -- adapt for fn sw's added to source categories  </t>
  </si>
  <si>
    <t xml:space="preserve">model-trainer.lua -- adapt for long press changes  
model-mixes-free.lua -- adapt for use a source options and new curve parameter order  </t>
  </si>
  <si>
    <t xml:space="preserve">model-lsw-ignore-trainer now done by trainer-take-back.lua    
model-mixes.lua -- use oxalys model for thr options with ignore trainer</t>
  </si>
  <si>
    <t xml:space="preserve">Update manual for addition of function switches to source categories; improve description in appendix of model conversions from 1.6.x to 26.1.0.</t>
  </si>
  <si>
    <t xml:space="preserve">Update manual for Add “Wizard output channel naming” section 
Replace ‘Dark mode’ with ‘Theme’ 
Improve ETHOS Lua example script files location section 
Add ‘Alternative Lua display themes’ section in Lua Scripts </t>
  </si>
  <si>
    <t xml:space="preserve">how-to-low-batt.lua -- remove surplus rtn statements due to bug fix 
user-interface.lua -- remove surplus rtn statements due to bug fix 
model-fm.lua -- adapt for fn sw's added to source categories 
system-menu.lua -- add theme section </t>
  </si>
  <si>
    <t xml:space="preserve">X20S_radio_backup_EN rebuilt with widgets repaired and themes added  </t>
  </si>
  <si>
    <t xml:space="preserve">X20S_radio_backup_EN update logs folder and theme; review 26.1.0-RC2 changes.</t>
  </si>
  <si>
    <t xml:space="preserve">26.1.0 RC3 related changes:
Improve paragraph to “Will reset telemetry, and clear any ‘sensor lost’ or ‘sensor conflict’ red dot alerts. Please refer to Sensor lost / conflict alerts.” 
Change title to “Sensor lost / conflict alerts” (and add a bookmark to it). 
Improve paragraph to “The red dot alerts are only cleared on a sensor or telemetry reset. (Note that a flight reset also resets telemetry.)” 
Improve paragraph to “Will reset telemetry, and clear any ‘sensor lost’ or ‘sensor conflict’ red dot alerts. Please refer to Sensor lost / conflict alerts.” 
Add “Please note that ‘Reset: Flight data’ and ‘Reset: Whole telemetry’ will also clear any ‘sensor lost’ or ‘sensor conflict’ red dot alerts. Please refer to Sensor lost / conflict alerts. “ </t>
  </si>
  <si>
    <t xml:space="preserve">Remove ‘Status’ from Xact servo telemetry 
Add Active Condition description to Set Failsafe SF </t>
  </si>
  <si>
    <t xml:space="preserve">Invoiced 24/7/26, awaiting payment </t>
  </si>
  <si>
    <t xml:space="preserve">Release manual for 26.1.0-RC5</t>
  </si>
  <si>
    <t xml:space="preserve">Update model-mixes-free.lua for Ability to add a Var while in ‘Source select
Add “Ability to add a Var while in ‘Source select’”
Release manual for 26.1.0-RC6</t>
  </si>
  <si>
    <t xml:space="preserve">Start documenting FrSky Suite (convert from Ethos Suite)</t>
  </si>
  <si>
    <t xml:space="preserve">FrSky Suite Devices Section 
Ethos 
Ethos simulator 
Simple setup 
Recommended setup 
Simulator task bar 
Controls Panel</t>
  </si>
  <si>
    <t xml:space="preserve">FrSky Suite Lua library 
Lua development tools</t>
  </si>
  <si>
    <t xml:space="preserve">FrSky Suite Image manager 
Audio manager</t>
  </si>
  <si>
    <t xml:space="preserve">FrSky Suite DFU Flasher</t>
  </si>
  <si>
    <t xml:space="preserve">FrSky Suite Documentation section
Suite Settings
About</t>
  </si>
  <si>
    <t xml:space="preserve">Log viewer, correct hyperlinks.</t>
  </si>
  <si>
    <t xml:space="preserve">Start to add a new Web Simulator section.</t>
  </si>
  <si>
    <t xml:space="preserve">Web Simulator section cont.</t>
  </si>
  <si>
    <t xml:space="preserve">Rework Web Simulator Uploads and Downloads section</t>
  </si>
  <si>
    <t xml:space="preserve">Add XE/XES/XE RS layouts
Add X14/X14RS layouts 
Add TWIN XLite layouts 
Write new macro for XES RS Top Screen screenshots
Add XES RS Top Screen to the manual</t>
  </si>
  <si>
    <t xml:space="preserve">Add XE series switch layout</t>
  </si>
  <si>
    <t xml:space="preserve">Add Test mix avoids thr channels</t>
  </si>
  <si>
    <t xml:space="preserve">Review 26.1.0-RC8 changes.
Add “For radio-level adjustments like Main volume, Speaker mute, Vario volume, Display brightness and Sleep brightness you cannot select a source which is model-dependant (like a logic switch, function switch or a flight mode. “</t>
  </si>
  <si>
    <t xml:space="preserve">Review 26.1.0 full release changes. 
Update manual for Date &amp; Time screen change.</t>
  </si>
  <si>
    <t xml:space="preserve">Uploaded Model_rev1</t>
  </si>
  <si>
    <t xml:space="preserve">Model_part1_rev2</t>
  </si>
  <si>
    <t xml:space="preserve">Model_part2_rev0</t>
  </si>
</sst>
</file>

<file path=xl/styles.xml><?xml version="1.0" encoding="utf-8"?>
<styleSheet xmlns="http://schemas.openxmlformats.org/spreadsheetml/2006/main">
  <numFmts count="3">
    <numFmt numFmtId="164" formatCode="General"/>
    <numFmt numFmtId="165" formatCode="dd/mm/yy"/>
    <numFmt numFmtId="166" formatCode="#,##0.00"/>
  </numFmts>
  <fonts count="10">
    <font>
      <sz val="10"/>
      <name val="Arial"/>
      <family val="2"/>
      <charset val="1"/>
    </font>
    <font>
      <sz val="10"/>
      <name val="Arial"/>
      <family val="0"/>
    </font>
    <font>
      <sz val="10"/>
      <name val="Arial"/>
      <family val="0"/>
    </font>
    <font>
      <sz val="10"/>
      <name val="Arial"/>
      <family val="0"/>
    </font>
    <font>
      <vertAlign val="superscript"/>
      <sz val="10"/>
      <name val="Arial"/>
      <family val="2"/>
      <charset val="1"/>
    </font>
    <font>
      <sz val="11.5"/>
      <color rgb="FF000000"/>
      <name val="Liberation Sans;Arial"/>
      <family val="2"/>
      <charset val="1"/>
    </font>
    <font>
      <sz val="10"/>
      <color rgb="FF000000"/>
      <name val="Arial"/>
      <family val="2"/>
      <charset val="1"/>
    </font>
    <font>
      <b val="true"/>
      <sz val="10"/>
      <name val="Arial"/>
      <family val="2"/>
      <charset val="1"/>
    </font>
    <font>
      <sz val="10"/>
      <color rgb="FF000000"/>
      <name val="Verdana"/>
      <family val="1"/>
      <charset val="1"/>
    </font>
    <font>
      <sz val="10"/>
      <name val="Arial"/>
      <family val="2"/>
    </font>
  </fonts>
  <fills count="2">
    <fill>
      <patternFill patternType="none"/>
    </fill>
    <fill>
      <patternFill patternType="gray125"/>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left" vertical="bottom" textRotation="0" wrapText="tru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519"/>
  <sheetViews>
    <sheetView showFormulas="false" showGridLines="true" showRowColHeaders="true" showZeros="true" rightToLeft="false" tabSelected="true" showOutlineSymbols="true" defaultGridColor="true" view="normal" topLeftCell="B504" colorId="64" zoomScale="69" zoomScaleNormal="69" zoomScalePageLayoutView="100" workbookViewId="0">
      <selection pane="topLeft" activeCell="G514" activeCellId="0" sqref="G514:G515"/>
    </sheetView>
  </sheetViews>
  <sheetFormatPr defaultColWidth="11.9921875" defaultRowHeight="12.8" customHeight="true" zeroHeight="false" outlineLevelRow="0" outlineLevelCol="0"/>
  <cols>
    <col collapsed="false" customWidth="false" hidden="false" outlineLevel="0" max="2" min="2" style="1" width="11.99"/>
    <col collapsed="false" customWidth="true" hidden="false" outlineLevel="0" max="7" min="3" style="2" width="11.54"/>
    <col collapsed="false" customWidth="true" hidden="false" outlineLevel="0" max="9" min="9" style="3" width="67.86"/>
  </cols>
  <sheetData>
    <row r="2" customFormat="false" ht="12.8" hidden="false" customHeight="false" outlineLevel="0" collapsed="false">
      <c r="B2" s="4" t="s">
        <v>0</v>
      </c>
      <c r="C2" s="5" t="s">
        <v>1</v>
      </c>
    </row>
    <row r="3" customFormat="false" ht="12.8" hidden="false" customHeight="false" outlineLevel="0" collapsed="false">
      <c r="A3" s="6" t="s">
        <v>2</v>
      </c>
      <c r="B3" s="1" t="n">
        <v>44259</v>
      </c>
      <c r="C3" s="5" t="n">
        <v>0.75</v>
      </c>
      <c r="G3" s="5" t="n">
        <f aca="false">SUM(C3:F3)</f>
        <v>0.75</v>
      </c>
    </row>
    <row r="4" customFormat="false" ht="12.8" hidden="false" customHeight="false" outlineLevel="0" collapsed="false">
      <c r="A4" s="6" t="s">
        <v>3</v>
      </c>
      <c r="B4" s="1" t="n">
        <v>44260</v>
      </c>
      <c r="C4" s="5" t="n">
        <v>1.5</v>
      </c>
      <c r="D4" s="5" t="n">
        <v>1.5</v>
      </c>
      <c r="G4" s="5" t="n">
        <f aca="false">SUM(C4:F4)</f>
        <v>3</v>
      </c>
    </row>
    <row r="5" customFormat="false" ht="12.8" hidden="false" customHeight="false" outlineLevel="0" collapsed="false">
      <c r="A5" s="6" t="s">
        <v>4</v>
      </c>
      <c r="B5" s="1" t="n">
        <v>44262</v>
      </c>
      <c r="C5" s="5" t="n">
        <v>1.75</v>
      </c>
      <c r="D5" s="5" t="n">
        <v>0.5</v>
      </c>
      <c r="E5" s="5" t="n">
        <v>0.75</v>
      </c>
      <c r="F5" s="5"/>
      <c r="G5" s="5" t="n">
        <f aca="false">SUM(C5:F5)</f>
        <v>3</v>
      </c>
    </row>
    <row r="6" customFormat="false" ht="12.8" hidden="false" customHeight="false" outlineLevel="0" collapsed="false">
      <c r="A6" s="6" t="s">
        <v>5</v>
      </c>
      <c r="B6" s="1" t="n">
        <v>44263</v>
      </c>
      <c r="C6" s="5" t="n">
        <v>1</v>
      </c>
      <c r="D6" s="5" t="n">
        <v>0.3</v>
      </c>
      <c r="E6" s="5" t="n">
        <v>0.25</v>
      </c>
      <c r="G6" s="5" t="n">
        <f aca="false">SUM(C6:F6)</f>
        <v>1.55</v>
      </c>
      <c r="H6" s="6" t="n">
        <f aca="false">SUM(G3:G6)</f>
        <v>8.3</v>
      </c>
    </row>
    <row r="7" customFormat="false" ht="12.8" hidden="false" customHeight="false" outlineLevel="0" collapsed="false"/>
    <row r="8" customFormat="false" ht="12.8" hidden="false" customHeight="false" outlineLevel="0" collapsed="false">
      <c r="A8" s="6" t="s">
        <v>6</v>
      </c>
      <c r="B8" s="1" t="n">
        <v>44265</v>
      </c>
      <c r="C8" s="5" t="n">
        <v>1.5</v>
      </c>
      <c r="D8" s="5" t="n">
        <v>0.6</v>
      </c>
      <c r="E8" s="5" t="n">
        <v>0.4</v>
      </c>
      <c r="G8" s="5" t="n">
        <f aca="false">SUM(C8:F8)</f>
        <v>2.5</v>
      </c>
      <c r="I8" s="3" t="s">
        <v>7</v>
      </c>
    </row>
    <row r="9" customFormat="false" ht="12.8" hidden="false" customHeight="false" outlineLevel="0" collapsed="false">
      <c r="A9" s="6" t="s">
        <v>2</v>
      </c>
      <c r="B9" s="1" t="n">
        <v>44266</v>
      </c>
      <c r="C9" s="5" t="n">
        <v>0.5</v>
      </c>
      <c r="D9" s="5" t="n">
        <v>0.5</v>
      </c>
      <c r="G9" s="5" t="n">
        <f aca="false">SUM(C9:F9)</f>
        <v>1</v>
      </c>
      <c r="I9" s="3" t="s">
        <v>8</v>
      </c>
    </row>
    <row r="10" customFormat="false" ht="12.8" hidden="false" customHeight="false" outlineLevel="0" collapsed="false">
      <c r="A10" s="6" t="s">
        <v>3</v>
      </c>
      <c r="B10" s="1" t="n">
        <v>44267</v>
      </c>
      <c r="C10" s="5" t="n">
        <v>0.85</v>
      </c>
      <c r="D10" s="5" t="n">
        <v>0.25</v>
      </c>
      <c r="E10" s="5" t="n">
        <v>1</v>
      </c>
      <c r="G10" s="5" t="n">
        <f aca="false">SUM(C10:F10)</f>
        <v>2.1</v>
      </c>
      <c r="I10" s="3" t="s">
        <v>9</v>
      </c>
    </row>
    <row r="11" customFormat="false" ht="12.8" hidden="false" customHeight="false" outlineLevel="0" collapsed="false">
      <c r="A11" s="6" t="s">
        <v>4</v>
      </c>
      <c r="B11" s="1" t="n">
        <v>44269</v>
      </c>
      <c r="C11" s="5" t="n">
        <v>0.1</v>
      </c>
      <c r="D11" s="5" t="n">
        <v>1.35</v>
      </c>
      <c r="G11" s="5" t="n">
        <f aca="false">SUM(C11:F11)</f>
        <v>1.45</v>
      </c>
    </row>
    <row r="12" customFormat="false" ht="12.8" hidden="false" customHeight="false" outlineLevel="0" collapsed="false">
      <c r="A12" s="6" t="s">
        <v>10</v>
      </c>
      <c r="B12" s="1" t="n">
        <v>44271</v>
      </c>
      <c r="C12" s="5" t="n">
        <v>0.3</v>
      </c>
      <c r="D12" s="5" t="n">
        <v>1.2</v>
      </c>
      <c r="G12" s="5" t="n">
        <f aca="false">SUM(C12:F12)</f>
        <v>1.5</v>
      </c>
      <c r="H12" s="7"/>
      <c r="I12" s="8" t="s">
        <v>11</v>
      </c>
      <c r="J12" s="7"/>
    </row>
    <row r="13" customFormat="false" ht="12.8" hidden="false" customHeight="false" outlineLevel="0" collapsed="false">
      <c r="A13" s="6" t="s">
        <v>6</v>
      </c>
      <c r="B13" s="1" t="n">
        <v>44272</v>
      </c>
      <c r="C13" s="5" t="n">
        <v>1.5</v>
      </c>
      <c r="D13" s="5" t="n">
        <v>2.25</v>
      </c>
      <c r="E13" s="5" t="n">
        <v>0.75</v>
      </c>
      <c r="F13" s="5" t="n">
        <v>0.65</v>
      </c>
      <c r="G13" s="5" t="n">
        <f aca="false">SUM(C13:F13)</f>
        <v>5.15</v>
      </c>
      <c r="H13" s="7"/>
      <c r="I13" s="8" t="s">
        <v>12</v>
      </c>
      <c r="J13" s="7"/>
    </row>
    <row r="14" customFormat="false" ht="12.8" hidden="false" customHeight="false" outlineLevel="0" collapsed="false">
      <c r="A14" s="6" t="s">
        <v>2</v>
      </c>
      <c r="B14" s="1" t="n">
        <v>44273</v>
      </c>
      <c r="C14" s="5" t="n">
        <v>1.4</v>
      </c>
      <c r="D14" s="5" t="n">
        <v>1.25</v>
      </c>
      <c r="G14" s="5" t="n">
        <f aca="false">SUM(C14:F14)</f>
        <v>2.65</v>
      </c>
      <c r="H14" s="7"/>
      <c r="I14" s="8" t="s">
        <v>13</v>
      </c>
      <c r="J14" s="7"/>
    </row>
    <row r="15" customFormat="false" ht="12.8" hidden="false" customHeight="false" outlineLevel="0" collapsed="false">
      <c r="A15" s="6" t="s">
        <v>3</v>
      </c>
      <c r="B15" s="1" t="n">
        <v>44274</v>
      </c>
      <c r="C15" s="5" t="n">
        <v>0.5</v>
      </c>
      <c r="G15" s="5" t="n">
        <f aca="false">SUM(C15:F15)</f>
        <v>0.5</v>
      </c>
      <c r="H15" s="7"/>
      <c r="I15" s="8" t="s">
        <v>14</v>
      </c>
      <c r="J15" s="7"/>
    </row>
    <row r="16" customFormat="false" ht="12.8" hidden="false" customHeight="false" outlineLevel="0" collapsed="false">
      <c r="A16" s="6" t="s">
        <v>15</v>
      </c>
      <c r="H16" s="7"/>
      <c r="I16" s="8"/>
      <c r="J16" s="7"/>
    </row>
    <row r="17" customFormat="false" ht="12.8" hidden="false" customHeight="false" outlineLevel="0" collapsed="false">
      <c r="A17" s="6" t="s">
        <v>4</v>
      </c>
      <c r="B17" s="1" t="n">
        <v>44276</v>
      </c>
      <c r="C17" s="5" t="n">
        <v>1.42</v>
      </c>
      <c r="G17" s="5" t="n">
        <f aca="false">SUM(C17:F17)</f>
        <v>1.42</v>
      </c>
      <c r="H17" s="7"/>
      <c r="I17" s="8" t="s">
        <v>16</v>
      </c>
      <c r="J17" s="7"/>
    </row>
    <row r="18" customFormat="false" ht="12.8" hidden="false" customHeight="false" outlineLevel="0" collapsed="false">
      <c r="A18" s="6" t="s">
        <v>5</v>
      </c>
      <c r="B18" s="1" t="n">
        <v>44277</v>
      </c>
      <c r="C18" s="5" t="n">
        <v>0.91</v>
      </c>
      <c r="D18" s="5" t="n">
        <v>0.3</v>
      </c>
      <c r="G18" s="5" t="n">
        <f aca="false">SUM(C18:F18)</f>
        <v>1.21</v>
      </c>
      <c r="H18" s="7"/>
      <c r="I18" s="8" t="s">
        <v>17</v>
      </c>
      <c r="J18" s="7"/>
    </row>
    <row r="19" customFormat="false" ht="12.8" hidden="false" customHeight="false" outlineLevel="0" collapsed="false">
      <c r="A19" s="6" t="s">
        <v>10</v>
      </c>
      <c r="B19" s="1" t="n">
        <v>44278</v>
      </c>
      <c r="C19" s="5" t="n">
        <v>0.43</v>
      </c>
      <c r="D19" s="5" t="n">
        <v>1.5</v>
      </c>
      <c r="G19" s="5" t="n">
        <f aca="false">SUM(C19:F19)</f>
        <v>1.93</v>
      </c>
      <c r="H19" s="7"/>
      <c r="I19" s="8" t="s">
        <v>18</v>
      </c>
      <c r="J19" s="7"/>
    </row>
    <row r="20" customFormat="false" ht="12.8" hidden="false" customHeight="false" outlineLevel="0" collapsed="false">
      <c r="H20" s="7"/>
      <c r="I20" s="8"/>
      <c r="J20" s="7"/>
    </row>
    <row r="21" customFormat="false" ht="12.8" hidden="false" customHeight="false" outlineLevel="0" collapsed="false">
      <c r="A21" s="6" t="s">
        <v>10</v>
      </c>
      <c r="B21" s="1" t="n">
        <v>44285</v>
      </c>
      <c r="C21" s="2" t="n">
        <v>1.25</v>
      </c>
      <c r="G21" s="5" t="n">
        <f aca="false">SUM(C21:F21)</f>
        <v>1.25</v>
      </c>
      <c r="H21" s="7"/>
      <c r="I21" s="8" t="s">
        <v>19</v>
      </c>
      <c r="J21" s="7"/>
    </row>
    <row r="22" customFormat="false" ht="12.8" hidden="false" customHeight="false" outlineLevel="0" collapsed="false">
      <c r="A22" s="6" t="s">
        <v>6</v>
      </c>
      <c r="B22" s="1" t="n">
        <v>44286</v>
      </c>
      <c r="C22" s="2" t="n">
        <v>1.16</v>
      </c>
      <c r="D22" s="2" t="n">
        <f aca="false">35/60</f>
        <v>0.583333333333333</v>
      </c>
      <c r="G22" s="5" t="n">
        <f aca="false">SUM(C22:F22)</f>
        <v>1.74333333333333</v>
      </c>
      <c r="H22" s="7"/>
      <c r="I22" s="8" t="s">
        <v>20</v>
      </c>
      <c r="J22" s="7"/>
    </row>
    <row r="23" customFormat="false" ht="12.8" hidden="false" customHeight="false" outlineLevel="0" collapsed="false">
      <c r="A23" s="6" t="s">
        <v>15</v>
      </c>
      <c r="B23" s="1" t="n">
        <v>44289</v>
      </c>
      <c r="C23" s="2" t="n">
        <f aca="false">20/60</f>
        <v>0.333333333333333</v>
      </c>
      <c r="D23" s="2" t="n">
        <v>0.3</v>
      </c>
      <c r="G23" s="5" t="n">
        <f aca="false">SUM(C23:F23)</f>
        <v>0.633333333333333</v>
      </c>
      <c r="H23" s="7"/>
      <c r="I23" s="8"/>
      <c r="J23" s="7"/>
    </row>
    <row r="24" customFormat="false" ht="12.8" hidden="false" customHeight="false" outlineLevel="0" collapsed="false">
      <c r="A24" s="6" t="s">
        <v>5</v>
      </c>
      <c r="B24" s="1" t="n">
        <v>44291</v>
      </c>
      <c r="C24" s="2" t="n">
        <v>0.25</v>
      </c>
      <c r="G24" s="5" t="n">
        <f aca="false">SUM(C24:F24)</f>
        <v>0.25</v>
      </c>
      <c r="H24" s="7"/>
      <c r="I24" s="8" t="s">
        <v>21</v>
      </c>
      <c r="J24" s="7"/>
    </row>
    <row r="25" customFormat="false" ht="12.8" hidden="false" customHeight="false" outlineLevel="0" collapsed="false">
      <c r="A25" s="6" t="s">
        <v>10</v>
      </c>
      <c r="B25" s="1" t="n">
        <v>44292</v>
      </c>
      <c r="C25" s="2" t="n">
        <f aca="false">50/60</f>
        <v>0.833333333333333</v>
      </c>
      <c r="D25" s="2" t="n">
        <v>0.5</v>
      </c>
      <c r="G25" s="5" t="n">
        <f aca="false">SUM(C25:F25)</f>
        <v>1.33333333333333</v>
      </c>
      <c r="H25" s="7"/>
      <c r="I25" s="8" t="s">
        <v>22</v>
      </c>
      <c r="J25" s="7"/>
    </row>
    <row r="26" customFormat="false" ht="12.8" hidden="false" customHeight="false" outlineLevel="0" collapsed="false">
      <c r="A26" s="6" t="s">
        <v>2</v>
      </c>
      <c r="B26" s="1" t="n">
        <v>44294</v>
      </c>
      <c r="C26" s="2" t="n">
        <v>0.25</v>
      </c>
      <c r="D26" s="2" t="n">
        <v>0.3</v>
      </c>
      <c r="G26" s="5" t="n">
        <f aca="false">SUM(C26:F26)</f>
        <v>0.55</v>
      </c>
      <c r="H26" s="7"/>
      <c r="I26" s="8" t="s">
        <v>23</v>
      </c>
      <c r="J26" s="7"/>
    </row>
    <row r="27" customFormat="false" ht="12.8" hidden="false" customHeight="false" outlineLevel="0" collapsed="false">
      <c r="A27" s="6" t="s">
        <v>3</v>
      </c>
      <c r="B27" s="1" t="n">
        <v>44295</v>
      </c>
      <c r="C27" s="2" t="n">
        <v>0.5</v>
      </c>
      <c r="G27" s="5" t="n">
        <f aca="false">SUM(C27:F27)</f>
        <v>0.5</v>
      </c>
      <c r="H27" s="7"/>
      <c r="I27" s="8" t="s">
        <v>24</v>
      </c>
      <c r="J27" s="7"/>
    </row>
    <row r="28" customFormat="false" ht="12.8" hidden="false" customHeight="false" outlineLevel="0" collapsed="false">
      <c r="A28" s="6" t="s">
        <v>15</v>
      </c>
      <c r="B28" s="1" t="n">
        <v>44296</v>
      </c>
      <c r="C28" s="2" t="n">
        <v>0.5</v>
      </c>
      <c r="D28" s="2" t="n">
        <v>0.2</v>
      </c>
      <c r="E28" s="2" t="n">
        <v>1</v>
      </c>
      <c r="G28" s="5" t="n">
        <f aca="false">SUM(C28:F28)</f>
        <v>1.7</v>
      </c>
      <c r="I28" s="8" t="s">
        <v>25</v>
      </c>
      <c r="J28" s="7"/>
    </row>
    <row r="29" customFormat="false" ht="12.8" hidden="false" customHeight="false" outlineLevel="0" collapsed="false">
      <c r="A29" s="6" t="s">
        <v>4</v>
      </c>
      <c r="B29" s="1" t="n">
        <v>44297</v>
      </c>
      <c r="C29" s="2" t="n">
        <f aca="false">40/60</f>
        <v>0.666666666666667</v>
      </c>
      <c r="G29" s="5" t="n">
        <f aca="false">SUM(C29:F29)</f>
        <v>0.666666666666667</v>
      </c>
      <c r="H29" s="7"/>
      <c r="I29" s="8" t="s">
        <v>26</v>
      </c>
      <c r="J29" s="7"/>
    </row>
    <row r="30" customFormat="false" ht="23.45" hidden="false" customHeight="false" outlineLevel="0" collapsed="false">
      <c r="A30" s="6" t="s">
        <v>5</v>
      </c>
      <c r="B30" s="1" t="n">
        <v>44298</v>
      </c>
      <c r="C30" s="2" t="n">
        <v>0.5</v>
      </c>
      <c r="D30" s="2" t="n">
        <f aca="false">36/60</f>
        <v>0.6</v>
      </c>
      <c r="E30" s="2" t="n">
        <f aca="false">42/60</f>
        <v>0.7</v>
      </c>
      <c r="G30" s="5" t="n">
        <f aca="false">SUM(C30:F30)</f>
        <v>1.8</v>
      </c>
      <c r="H30" s="7"/>
      <c r="I30" s="8" t="s">
        <v>27</v>
      </c>
      <c r="J30" s="7"/>
    </row>
    <row r="31" customFormat="false" ht="12.8" hidden="false" customHeight="false" outlineLevel="0" collapsed="false">
      <c r="A31" s="6" t="s">
        <v>6</v>
      </c>
      <c r="B31" s="1" t="n">
        <v>44300</v>
      </c>
      <c r="C31" s="2" t="n">
        <v>0.75</v>
      </c>
      <c r="D31" s="2" t="n">
        <v>0.5</v>
      </c>
      <c r="E31" s="2" t="n">
        <v>0.25</v>
      </c>
      <c r="G31" s="5" t="n">
        <f aca="false">SUM(C31:F31)</f>
        <v>1.5</v>
      </c>
      <c r="H31" s="7"/>
      <c r="I31" s="8" t="s">
        <v>28</v>
      </c>
      <c r="J31" s="7"/>
    </row>
    <row r="32" customFormat="false" ht="12.8" hidden="false" customHeight="false" outlineLevel="0" collapsed="false">
      <c r="A32" s="6" t="s">
        <v>2</v>
      </c>
      <c r="B32" s="1" t="n">
        <v>44301</v>
      </c>
      <c r="D32" s="2" t="n">
        <v>1</v>
      </c>
      <c r="E32" s="2" t="n">
        <v>2</v>
      </c>
      <c r="G32" s="5" t="n">
        <f aca="false">SUM(C32:F32)</f>
        <v>3</v>
      </c>
      <c r="H32" s="7"/>
      <c r="I32" s="8" t="s">
        <v>29</v>
      </c>
      <c r="J32" s="7"/>
    </row>
    <row r="33" customFormat="false" ht="12.8" hidden="false" customHeight="false" outlineLevel="0" collapsed="false">
      <c r="A33" s="6"/>
      <c r="G33" s="9" t="n">
        <f aca="false">SUM(G3:G32)</f>
        <v>44.6366666666667</v>
      </c>
      <c r="H33" s="7"/>
      <c r="I33" s="8" t="s">
        <v>30</v>
      </c>
      <c r="J33" s="7"/>
    </row>
    <row r="34" customFormat="false" ht="12.8" hidden="false" customHeight="false" outlineLevel="0" collapsed="false">
      <c r="A34" s="6"/>
      <c r="G34" s="5"/>
      <c r="H34" s="7"/>
      <c r="I34" s="8"/>
      <c r="J34" s="7"/>
    </row>
    <row r="35" customFormat="false" ht="12.8" hidden="false" customHeight="false" outlineLevel="0" collapsed="false">
      <c r="A35" s="6"/>
      <c r="G35" s="5"/>
      <c r="H35" s="7"/>
      <c r="I35" s="8"/>
      <c r="J35" s="7"/>
    </row>
    <row r="36" customFormat="false" ht="12.8" hidden="false" customHeight="false" outlineLevel="0" collapsed="false">
      <c r="A36" s="6" t="s">
        <v>2</v>
      </c>
      <c r="B36" s="1" t="n">
        <v>44301</v>
      </c>
      <c r="C36" s="2" t="n">
        <v>0.75</v>
      </c>
      <c r="G36" s="5" t="n">
        <f aca="false">SUM(C36:F36)</f>
        <v>0.75</v>
      </c>
      <c r="H36" s="7"/>
      <c r="I36" s="8" t="s">
        <v>31</v>
      </c>
      <c r="J36" s="7"/>
    </row>
    <row r="37" customFormat="false" ht="12.8" hidden="false" customHeight="false" outlineLevel="0" collapsed="false">
      <c r="A37" s="6" t="s">
        <v>3</v>
      </c>
      <c r="B37" s="1" t="n">
        <v>44302</v>
      </c>
      <c r="C37" s="2" t="n">
        <f aca="false">19/60</f>
        <v>0.316666666666667</v>
      </c>
      <c r="D37" s="2" t="n">
        <f aca="false">28/60</f>
        <v>0.466666666666667</v>
      </c>
      <c r="G37" s="5" t="n">
        <f aca="false">SUM(C37:F37)</f>
        <v>0.783333333333334</v>
      </c>
      <c r="H37" s="7"/>
      <c r="I37" s="8" t="s">
        <v>32</v>
      </c>
      <c r="J37" s="7"/>
    </row>
    <row r="38" customFormat="false" ht="12.8" hidden="false" customHeight="false" outlineLevel="0" collapsed="false">
      <c r="A38" s="6" t="s">
        <v>15</v>
      </c>
      <c r="B38" s="1" t="n">
        <v>44303</v>
      </c>
      <c r="C38" s="2" t="n">
        <v>0.25</v>
      </c>
      <c r="D38" s="2" t="n">
        <v>1</v>
      </c>
      <c r="E38" s="2" t="n">
        <f aca="false">55/60</f>
        <v>0.916666666666667</v>
      </c>
      <c r="G38" s="5" t="n">
        <f aca="false">SUM(C38:F38)</f>
        <v>2.16666666666667</v>
      </c>
      <c r="H38" s="7"/>
      <c r="I38" s="8" t="s">
        <v>33</v>
      </c>
      <c r="J38" s="7"/>
    </row>
    <row r="39" customFormat="false" ht="12.8" hidden="false" customHeight="false" outlineLevel="0" collapsed="false">
      <c r="A39" s="6" t="s">
        <v>4</v>
      </c>
      <c r="B39" s="1" t="n">
        <v>44304</v>
      </c>
      <c r="C39" s="2" t="n">
        <f aca="false">45/60</f>
        <v>0.75</v>
      </c>
      <c r="G39" s="5" t="n">
        <f aca="false">SUM(C39:F39)</f>
        <v>0.75</v>
      </c>
      <c r="H39" s="7"/>
      <c r="I39" s="8" t="s">
        <v>34</v>
      </c>
      <c r="J39" s="7"/>
    </row>
    <row r="40" customFormat="false" ht="12.8" hidden="false" customHeight="false" outlineLevel="0" collapsed="false">
      <c r="A40" s="6" t="s">
        <v>6</v>
      </c>
      <c r="B40" s="1" t="n">
        <v>44307</v>
      </c>
      <c r="C40" s="2" t="n">
        <f aca="false">20/60</f>
        <v>0.333333333333333</v>
      </c>
      <c r="G40" s="5" t="n">
        <f aca="false">SUM(C40:F40)</f>
        <v>0.333333333333333</v>
      </c>
      <c r="H40" s="7"/>
      <c r="I40" s="8" t="s">
        <v>35</v>
      </c>
      <c r="J40" s="7"/>
    </row>
    <row r="41" customFormat="false" ht="12.8" hidden="false" customHeight="false" outlineLevel="0" collapsed="false">
      <c r="A41" s="6" t="s">
        <v>15</v>
      </c>
      <c r="B41" s="1" t="n">
        <v>44310</v>
      </c>
      <c r="C41" s="2" t="n">
        <f aca="false">37/60</f>
        <v>0.616666666666667</v>
      </c>
      <c r="D41" s="2" t="n">
        <f aca="false">34/60</f>
        <v>0.566666666666667</v>
      </c>
      <c r="G41" s="5" t="n">
        <f aca="false">SUM(C41:F41)</f>
        <v>1.18333333333333</v>
      </c>
      <c r="H41" s="7"/>
      <c r="I41" s="8" t="s">
        <v>36</v>
      </c>
      <c r="J41" s="7"/>
    </row>
    <row r="42" customFormat="false" ht="12.75" hidden="false" customHeight="true" outlineLevel="0" collapsed="false">
      <c r="A42" s="6" t="s">
        <v>4</v>
      </c>
      <c r="B42" s="1" t="n">
        <v>44311</v>
      </c>
      <c r="C42" s="2" t="n">
        <f aca="false">15/60</f>
        <v>0.25</v>
      </c>
      <c r="G42" s="5" t="n">
        <f aca="false">SUM(C42:F42)</f>
        <v>0.25</v>
      </c>
      <c r="H42" s="7"/>
      <c r="I42" s="8" t="s">
        <v>37</v>
      </c>
      <c r="J42" s="7"/>
    </row>
    <row r="43" customFormat="false" ht="12.8" hidden="false" customHeight="false" outlineLevel="0" collapsed="false">
      <c r="A43" s="6" t="s">
        <v>5</v>
      </c>
      <c r="B43" s="1" t="n">
        <v>44312</v>
      </c>
      <c r="C43" s="2" t="n">
        <f aca="false">10/60</f>
        <v>0.166666666666667</v>
      </c>
      <c r="G43" s="5" t="n">
        <f aca="false">SUM(C43:F43)</f>
        <v>0.166666666666667</v>
      </c>
      <c r="H43" s="7"/>
      <c r="I43" s="10" t="s">
        <v>38</v>
      </c>
      <c r="J43" s="7"/>
    </row>
    <row r="44" customFormat="false" ht="12.8" hidden="false" customHeight="false" outlineLevel="0" collapsed="false">
      <c r="A44" s="6" t="s">
        <v>10</v>
      </c>
      <c r="B44" s="1" t="n">
        <v>44313</v>
      </c>
      <c r="C44" s="2" t="n">
        <f aca="false">9/60</f>
        <v>0.15</v>
      </c>
      <c r="G44" s="5" t="n">
        <f aca="false">SUM(C44:F44)</f>
        <v>0.15</v>
      </c>
      <c r="H44" s="7"/>
      <c r="I44" s="8" t="s">
        <v>39</v>
      </c>
      <c r="J44" s="7"/>
    </row>
    <row r="45" customFormat="false" ht="12.8" hidden="false" customHeight="false" outlineLevel="0" collapsed="false">
      <c r="A45" s="6" t="s">
        <v>2</v>
      </c>
      <c r="B45" s="1" t="n">
        <v>44315</v>
      </c>
      <c r="C45" s="2" t="n">
        <v>0.25</v>
      </c>
      <c r="G45" s="5" t="n">
        <f aca="false">SUM(C45:F45)</f>
        <v>0.25</v>
      </c>
      <c r="H45" s="7"/>
      <c r="I45" s="8" t="s">
        <v>40</v>
      </c>
      <c r="J45" s="7"/>
    </row>
    <row r="46" customFormat="false" ht="12.8" hidden="false" customHeight="false" outlineLevel="0" collapsed="false">
      <c r="A46" s="6" t="s">
        <v>3</v>
      </c>
      <c r="B46" s="1" t="n">
        <v>44316</v>
      </c>
      <c r="C46" s="2" t="n">
        <v>1.25</v>
      </c>
      <c r="G46" s="5" t="n">
        <f aca="false">SUM(C46:F46)</f>
        <v>1.25</v>
      </c>
      <c r="H46" s="7"/>
      <c r="I46" s="8" t="s">
        <v>41</v>
      </c>
      <c r="J46" s="7"/>
    </row>
    <row r="47" customFormat="false" ht="12.8" hidden="false" customHeight="false" outlineLevel="0" collapsed="false">
      <c r="A47" s="6" t="s">
        <v>6</v>
      </c>
      <c r="B47" s="1" t="n">
        <v>44321</v>
      </c>
      <c r="C47" s="2" t="n">
        <v>0.3</v>
      </c>
      <c r="G47" s="5" t="n">
        <f aca="false">SUM(C47:F47)</f>
        <v>0.3</v>
      </c>
      <c r="H47" s="7"/>
      <c r="I47" s="8" t="s">
        <v>42</v>
      </c>
      <c r="J47" s="7"/>
    </row>
    <row r="48" customFormat="false" ht="12.8" hidden="false" customHeight="false" outlineLevel="0" collapsed="false">
      <c r="A48" s="6" t="s">
        <v>4</v>
      </c>
      <c r="B48" s="1" t="n">
        <v>44325</v>
      </c>
      <c r="C48" s="2" t="n">
        <f aca="false">25/60</f>
        <v>0.416666666666667</v>
      </c>
      <c r="G48" s="5" t="n">
        <f aca="false">SUM(C48:F48)</f>
        <v>0.416666666666667</v>
      </c>
      <c r="H48" s="7"/>
      <c r="I48" s="8" t="s">
        <v>43</v>
      </c>
      <c r="J48" s="7"/>
    </row>
    <row r="49" customFormat="false" ht="12.8" hidden="false" customHeight="false" outlineLevel="0" collapsed="false">
      <c r="A49" s="6" t="s">
        <v>10</v>
      </c>
      <c r="B49" s="1" t="n">
        <v>44327</v>
      </c>
      <c r="C49" s="2" t="n">
        <f aca="false">48/60</f>
        <v>0.8</v>
      </c>
      <c r="G49" s="5" t="n">
        <f aca="false">SUM(C49:F49)</f>
        <v>0.8</v>
      </c>
      <c r="H49" s="7"/>
      <c r="I49" s="8" t="s">
        <v>44</v>
      </c>
      <c r="J49" s="7"/>
    </row>
    <row r="50" customFormat="false" ht="12.8" hidden="false" customHeight="false" outlineLevel="0" collapsed="false">
      <c r="A50" s="6" t="s">
        <v>10</v>
      </c>
      <c r="B50" s="1" t="n">
        <v>44334</v>
      </c>
      <c r="C50" s="2" t="n">
        <f aca="false">25/60</f>
        <v>0.416666666666667</v>
      </c>
      <c r="D50" s="2" t="n">
        <f aca="false">20/60</f>
        <v>0.333333333333333</v>
      </c>
      <c r="G50" s="5" t="n">
        <f aca="false">SUM(C50:F50)</f>
        <v>0.75</v>
      </c>
      <c r="H50" s="7"/>
      <c r="I50" s="8" t="s">
        <v>45</v>
      </c>
      <c r="J50" s="7"/>
    </row>
    <row r="51" customFormat="false" ht="12.8" hidden="false" customHeight="false" outlineLevel="0" collapsed="false">
      <c r="A51" s="6" t="s">
        <v>3</v>
      </c>
      <c r="B51" s="1" t="n">
        <v>44337</v>
      </c>
      <c r="C51" s="2" t="n">
        <v>0.5</v>
      </c>
      <c r="D51" s="2" t="n">
        <f aca="false">25/60</f>
        <v>0.416666666666667</v>
      </c>
      <c r="G51" s="5" t="n">
        <f aca="false">SUM(C51:F51)</f>
        <v>0.916666666666667</v>
      </c>
      <c r="H51" s="7"/>
      <c r="I51" s="8" t="s">
        <v>46</v>
      </c>
      <c r="J51" s="7"/>
    </row>
    <row r="52" customFormat="false" ht="12.8" hidden="false" customHeight="false" outlineLevel="0" collapsed="false">
      <c r="A52" s="6" t="s">
        <v>4</v>
      </c>
      <c r="B52" s="1" t="n">
        <v>44339</v>
      </c>
      <c r="C52" s="5" t="n">
        <f aca="false">30/60</f>
        <v>0.5</v>
      </c>
      <c r="D52" s="2" t="n">
        <f aca="false">28/60</f>
        <v>0.466666666666667</v>
      </c>
      <c r="G52" s="5" t="n">
        <f aca="false">SUM(C52:F52)</f>
        <v>0.966666666666667</v>
      </c>
      <c r="H52" s="7"/>
      <c r="I52" s="8" t="s">
        <v>47</v>
      </c>
      <c r="J52" s="7"/>
    </row>
    <row r="53" customFormat="false" ht="12.8" hidden="false" customHeight="false" outlineLevel="0" collapsed="false">
      <c r="A53" s="6" t="s">
        <v>5</v>
      </c>
      <c r="B53" s="1" t="n">
        <v>44340</v>
      </c>
      <c r="C53" s="2" t="n">
        <f aca="false">12/60</f>
        <v>0.2</v>
      </c>
      <c r="E53" s="2" t="n">
        <f aca="false">9/60</f>
        <v>0.15</v>
      </c>
      <c r="G53" s="5" t="n">
        <f aca="false">SUM(C53:F53)</f>
        <v>0.35</v>
      </c>
      <c r="H53" s="7"/>
      <c r="I53" s="8" t="s">
        <v>48</v>
      </c>
      <c r="J53" s="7"/>
    </row>
    <row r="54" customFormat="false" ht="12.8" hidden="false" customHeight="false" outlineLevel="0" collapsed="false">
      <c r="A54" s="6" t="s">
        <v>10</v>
      </c>
      <c r="B54" s="1" t="n">
        <v>44341</v>
      </c>
      <c r="C54" s="2" t="n">
        <f aca="false">35/60</f>
        <v>0.583333333333333</v>
      </c>
      <c r="G54" s="5" t="n">
        <f aca="false">SUM(C54:F54)</f>
        <v>0.583333333333333</v>
      </c>
      <c r="H54" s="7"/>
      <c r="I54" s="8" t="s">
        <v>49</v>
      </c>
      <c r="J54" s="7"/>
    </row>
    <row r="55" customFormat="false" ht="12.8" hidden="false" customHeight="false" outlineLevel="0" collapsed="false">
      <c r="A55" s="6" t="s">
        <v>10</v>
      </c>
      <c r="B55" s="1" t="n">
        <v>44355</v>
      </c>
      <c r="C55" s="2" t="n">
        <v>0.5</v>
      </c>
      <c r="D55" s="2" t="n">
        <f aca="false">62/60</f>
        <v>1.03333333333333</v>
      </c>
      <c r="G55" s="5" t="n">
        <f aca="false">SUM(C55:F55)</f>
        <v>1.53333333333333</v>
      </c>
      <c r="H55" s="7"/>
      <c r="I55" s="8" t="s">
        <v>50</v>
      </c>
      <c r="J55" s="7"/>
    </row>
    <row r="56" customFormat="false" ht="12.8" hidden="false" customHeight="false" outlineLevel="0" collapsed="false">
      <c r="A56" s="6" t="s">
        <v>6</v>
      </c>
      <c r="B56" s="1" t="n">
        <v>44356</v>
      </c>
      <c r="C56" s="2" t="n">
        <v>0.25</v>
      </c>
      <c r="D56" s="2" t="n">
        <v>1</v>
      </c>
      <c r="G56" s="5" t="n">
        <f aca="false">SUM(C56:F56)</f>
        <v>1.25</v>
      </c>
      <c r="H56" s="7"/>
      <c r="I56" s="8" t="s">
        <v>51</v>
      </c>
      <c r="J56" s="7"/>
    </row>
    <row r="57" customFormat="false" ht="12.8" hidden="false" customHeight="false" outlineLevel="0" collapsed="false">
      <c r="A57" s="6" t="s">
        <v>10</v>
      </c>
      <c r="B57" s="1" t="n">
        <v>44362</v>
      </c>
      <c r="C57" s="2" t="n">
        <v>0.3</v>
      </c>
      <c r="D57" s="2" t="n">
        <v>0.4</v>
      </c>
      <c r="G57" s="5" t="n">
        <f aca="false">SUM(C57:F57)</f>
        <v>0.7</v>
      </c>
      <c r="H57" s="7"/>
      <c r="I57" s="8" t="s">
        <v>52</v>
      </c>
      <c r="J57" s="7"/>
    </row>
    <row r="58" customFormat="false" ht="12.8" hidden="false" customHeight="false" outlineLevel="0" collapsed="false">
      <c r="A58" s="6" t="s">
        <v>6</v>
      </c>
      <c r="B58" s="1" t="n">
        <v>44363</v>
      </c>
      <c r="C58" s="2" t="n">
        <v>0.75</v>
      </c>
      <c r="D58" s="2" t="n">
        <v>0.25</v>
      </c>
      <c r="G58" s="5" t="n">
        <f aca="false">SUM(C58:F58)</f>
        <v>1</v>
      </c>
      <c r="H58" s="7"/>
      <c r="I58" s="8" t="s">
        <v>53</v>
      </c>
      <c r="J58" s="7"/>
    </row>
    <row r="59" customFormat="false" ht="12.8" hidden="false" customHeight="false" outlineLevel="0" collapsed="false">
      <c r="A59" s="6" t="s">
        <v>2</v>
      </c>
      <c r="B59" s="1" t="n">
        <v>44378</v>
      </c>
      <c r="C59" s="2" t="n">
        <v>0.25</v>
      </c>
      <c r="G59" s="5" t="n">
        <f aca="false">SUM(C59:F59)</f>
        <v>0.25</v>
      </c>
      <c r="H59" s="7"/>
      <c r="I59" s="8" t="s">
        <v>54</v>
      </c>
      <c r="J59" s="7"/>
    </row>
    <row r="60" customFormat="false" ht="12.8" hidden="false" customHeight="false" outlineLevel="0" collapsed="false">
      <c r="A60" s="6" t="s">
        <v>5</v>
      </c>
      <c r="B60" s="1" t="n">
        <v>44382</v>
      </c>
      <c r="C60" s="2" t="n">
        <v>0.1</v>
      </c>
      <c r="D60" s="2" t="n">
        <f aca="false">48/60</f>
        <v>0.8</v>
      </c>
      <c r="G60" s="5" t="n">
        <f aca="false">SUM(C60:F60)</f>
        <v>0.9</v>
      </c>
      <c r="H60" s="7"/>
      <c r="I60" s="8" t="s">
        <v>55</v>
      </c>
      <c r="J60" s="7"/>
    </row>
    <row r="61" customFormat="false" ht="12.8" hidden="false" customHeight="false" outlineLevel="0" collapsed="false">
      <c r="A61" s="6" t="s">
        <v>6</v>
      </c>
      <c r="B61" s="1" t="n">
        <v>44391</v>
      </c>
      <c r="C61" s="2" t="n">
        <v>1.2</v>
      </c>
      <c r="G61" s="5" t="n">
        <f aca="false">SUM(C61:F61)</f>
        <v>1.2</v>
      </c>
      <c r="H61" s="7"/>
      <c r="I61" s="8" t="s">
        <v>56</v>
      </c>
      <c r="J61" s="7"/>
    </row>
    <row r="62" customFormat="false" ht="12.8" hidden="false" customHeight="false" outlineLevel="0" collapsed="false">
      <c r="A62" s="6" t="s">
        <v>2</v>
      </c>
      <c r="B62" s="1" t="n">
        <v>44392</v>
      </c>
      <c r="C62" s="2" t="n">
        <f aca="false">27/60</f>
        <v>0.45</v>
      </c>
      <c r="D62" s="2" t="n">
        <f aca="false">10/60</f>
        <v>0.166666666666667</v>
      </c>
      <c r="E62" s="2" t="n">
        <f aca="false">50/60</f>
        <v>0.833333333333333</v>
      </c>
      <c r="G62" s="5" t="n">
        <f aca="false">SUM(C62:F62)</f>
        <v>1.45</v>
      </c>
      <c r="H62" s="7"/>
      <c r="I62" s="8" t="s">
        <v>57</v>
      </c>
      <c r="J62" s="7"/>
    </row>
    <row r="63" customFormat="false" ht="12.8" hidden="false" customHeight="false" outlineLevel="0" collapsed="false">
      <c r="A63" s="6" t="s">
        <v>3</v>
      </c>
      <c r="B63" s="1" t="n">
        <v>44393</v>
      </c>
      <c r="C63" s="2" t="n">
        <f aca="false">35/60</f>
        <v>0.583333333333333</v>
      </c>
      <c r="G63" s="5" t="n">
        <f aca="false">SUM(C63:F63)</f>
        <v>0.583333333333333</v>
      </c>
      <c r="H63" s="7"/>
      <c r="I63" s="8" t="s">
        <v>58</v>
      </c>
      <c r="J63" s="7"/>
    </row>
    <row r="64" customFormat="false" ht="12.8" hidden="false" customHeight="false" outlineLevel="0" collapsed="false">
      <c r="A64" s="6" t="s">
        <v>15</v>
      </c>
      <c r="B64" s="1" t="n">
        <v>44394</v>
      </c>
      <c r="C64" s="2" t="n">
        <f aca="false">17/60</f>
        <v>0.283333333333333</v>
      </c>
      <c r="D64" s="2" t="n">
        <f aca="false">32/60</f>
        <v>0.533333333333333</v>
      </c>
      <c r="G64" s="5" t="n">
        <f aca="false">SUM(C64:F64)</f>
        <v>0.816666666666666</v>
      </c>
      <c r="H64" s="7"/>
      <c r="I64" s="8" t="s">
        <v>59</v>
      </c>
      <c r="J64" s="7"/>
    </row>
    <row r="65" customFormat="false" ht="23.45" hidden="false" customHeight="false" outlineLevel="0" collapsed="false">
      <c r="A65" s="6" t="s">
        <v>5</v>
      </c>
      <c r="B65" s="1" t="n">
        <v>44396</v>
      </c>
      <c r="C65" s="2" t="n">
        <f aca="false">31/60</f>
        <v>0.516666666666667</v>
      </c>
      <c r="D65" s="2" t="n">
        <f aca="false">57/60</f>
        <v>0.95</v>
      </c>
      <c r="G65" s="5" t="n">
        <f aca="false">SUM(C65:F65)</f>
        <v>1.46666666666667</v>
      </c>
      <c r="H65" s="7"/>
      <c r="I65" s="8" t="s">
        <v>60</v>
      </c>
      <c r="J65" s="7"/>
    </row>
    <row r="66" customFormat="false" ht="12.8" hidden="false" customHeight="false" outlineLevel="0" collapsed="false">
      <c r="A66" s="6" t="s">
        <v>10</v>
      </c>
      <c r="B66" s="1" t="n">
        <v>44397</v>
      </c>
      <c r="C66" s="2" t="n">
        <f aca="false">33/60</f>
        <v>0.55</v>
      </c>
      <c r="D66" s="2" t="n">
        <f aca="false">58/60</f>
        <v>0.966666666666667</v>
      </c>
      <c r="G66" s="5" t="n">
        <f aca="false">SUM(C66:F66)</f>
        <v>1.51666666666667</v>
      </c>
      <c r="H66" s="7"/>
      <c r="I66" s="8" t="s">
        <v>61</v>
      </c>
      <c r="J66" s="7"/>
    </row>
    <row r="67" customFormat="false" ht="12.8" hidden="false" customHeight="false" outlineLevel="0" collapsed="false">
      <c r="A67" s="6" t="s">
        <v>6</v>
      </c>
      <c r="B67" s="1" t="n">
        <v>44398</v>
      </c>
      <c r="C67" s="2" t="n">
        <f aca="false">27/60</f>
        <v>0.45</v>
      </c>
      <c r="D67" s="2" t="n">
        <f aca="false">15/60</f>
        <v>0.25</v>
      </c>
      <c r="G67" s="5" t="n">
        <f aca="false">SUM(C67:F67)</f>
        <v>0.7</v>
      </c>
      <c r="H67" s="7"/>
      <c r="I67" s="8" t="s">
        <v>62</v>
      </c>
      <c r="J67" s="7"/>
    </row>
    <row r="68" customFormat="false" ht="12.8" hidden="false" customHeight="false" outlineLevel="0" collapsed="false">
      <c r="A68" s="6" t="s">
        <v>3</v>
      </c>
      <c r="B68" s="1" t="n">
        <v>44400</v>
      </c>
      <c r="C68" s="2" t="n">
        <f aca="false">36/60</f>
        <v>0.6</v>
      </c>
      <c r="G68" s="5" t="n">
        <f aca="false">SUM(C68:F68)</f>
        <v>0.6</v>
      </c>
      <c r="H68" s="7"/>
      <c r="I68" s="8" t="s">
        <v>63</v>
      </c>
      <c r="J68" s="7"/>
    </row>
    <row r="69" customFormat="false" ht="12.8" hidden="false" customHeight="false" outlineLevel="0" collapsed="false">
      <c r="A69" s="6" t="s">
        <v>3</v>
      </c>
      <c r="B69" s="1" t="n">
        <v>44407</v>
      </c>
      <c r="C69" s="2" t="n">
        <f aca="false">36/60</f>
        <v>0.6</v>
      </c>
      <c r="G69" s="5" t="n">
        <f aca="false">SUM(C69:F69)</f>
        <v>0.6</v>
      </c>
      <c r="H69" s="7"/>
      <c r="I69" s="8" t="s">
        <v>64</v>
      </c>
      <c r="J69" s="7"/>
    </row>
    <row r="70" customFormat="false" ht="12.8" hidden="false" customHeight="false" outlineLevel="0" collapsed="false">
      <c r="A70" s="6" t="s">
        <v>4</v>
      </c>
      <c r="B70" s="1" t="n">
        <v>44409</v>
      </c>
      <c r="C70" s="2" t="n">
        <f aca="false">30/60</f>
        <v>0.5</v>
      </c>
      <c r="G70" s="5" t="n">
        <f aca="false">SUM(C70:F70)</f>
        <v>0.5</v>
      </c>
      <c r="H70" s="7"/>
      <c r="I70" s="8" t="s">
        <v>65</v>
      </c>
      <c r="J70" s="7"/>
    </row>
    <row r="71" customFormat="false" ht="12.8" hidden="false" customHeight="false" outlineLevel="0" collapsed="false">
      <c r="A71" s="6" t="s">
        <v>5</v>
      </c>
      <c r="B71" s="1" t="n">
        <v>44410</v>
      </c>
      <c r="C71" s="2" t="n">
        <f aca="false">1+50/60</f>
        <v>1.83333333333333</v>
      </c>
      <c r="G71" s="5" t="n">
        <f aca="false">SUM(C71:F71)</f>
        <v>1.83333333333333</v>
      </c>
      <c r="H71" s="7"/>
      <c r="I71" s="8" t="s">
        <v>65</v>
      </c>
      <c r="J71" s="7"/>
    </row>
    <row r="72" customFormat="false" ht="12.8" hidden="false" customHeight="false" outlineLevel="0" collapsed="false">
      <c r="A72" s="6" t="s">
        <v>2</v>
      </c>
      <c r="B72" s="1" t="n">
        <v>44413</v>
      </c>
      <c r="C72" s="2" t="n">
        <v>0.3</v>
      </c>
      <c r="G72" s="5" t="n">
        <f aca="false">SUM(C72:F72)</f>
        <v>0.3</v>
      </c>
      <c r="H72" s="7"/>
      <c r="I72" s="8" t="s">
        <v>66</v>
      </c>
      <c r="J72" s="7"/>
    </row>
    <row r="73" customFormat="false" ht="12.8" hidden="false" customHeight="false" outlineLevel="0" collapsed="false">
      <c r="A73" s="6" t="s">
        <v>2</v>
      </c>
      <c r="B73" s="1" t="n">
        <v>44448</v>
      </c>
      <c r="C73" s="2" t="n">
        <v>1</v>
      </c>
      <c r="G73" s="5" t="n">
        <f aca="false">SUM(C73:F73)</f>
        <v>1</v>
      </c>
      <c r="H73" s="7"/>
      <c r="I73" s="8" t="s">
        <v>67</v>
      </c>
      <c r="J73" s="7"/>
    </row>
    <row r="74" customFormat="false" ht="12.8" hidden="false" customHeight="false" outlineLevel="0" collapsed="false">
      <c r="A74" s="6" t="s">
        <v>3</v>
      </c>
      <c r="B74" s="1" t="n">
        <v>44449</v>
      </c>
      <c r="C74" s="2" t="n">
        <f aca="false">71/60</f>
        <v>1.18333333333333</v>
      </c>
      <c r="D74" s="2" t="n">
        <f aca="false">55/60</f>
        <v>0.916666666666667</v>
      </c>
      <c r="G74" s="5" t="n">
        <f aca="false">SUM(C74:F74)</f>
        <v>2.1</v>
      </c>
      <c r="H74" s="7"/>
      <c r="I74" s="8" t="s">
        <v>68</v>
      </c>
      <c r="J74" s="7"/>
    </row>
    <row r="75" customFormat="false" ht="12.8" hidden="false" customHeight="false" outlineLevel="0" collapsed="false">
      <c r="A75" s="6" t="s">
        <v>15</v>
      </c>
      <c r="B75" s="1" t="n">
        <v>44450</v>
      </c>
      <c r="C75" s="2" t="n">
        <f aca="false">65/60</f>
        <v>1.08333333333333</v>
      </c>
      <c r="G75" s="5" t="n">
        <f aca="false">SUM(C75:F75)</f>
        <v>1.08333333333333</v>
      </c>
      <c r="H75" s="7"/>
      <c r="I75" s="8" t="s">
        <v>69</v>
      </c>
      <c r="J75" s="7"/>
    </row>
    <row r="76" customFormat="false" ht="12.8" hidden="false" customHeight="false" outlineLevel="0" collapsed="false">
      <c r="A76" s="6" t="s">
        <v>4</v>
      </c>
      <c r="B76" s="1" t="n">
        <v>44451</v>
      </c>
      <c r="C76" s="2" t="n">
        <f aca="false">74/60</f>
        <v>1.23333333333333</v>
      </c>
      <c r="D76" s="2" t="n">
        <f aca="false">80/60</f>
        <v>1.33333333333333</v>
      </c>
      <c r="G76" s="5" t="n">
        <f aca="false">SUM(C76:F76)</f>
        <v>2.56666666666667</v>
      </c>
      <c r="H76" s="7"/>
      <c r="I76" s="8" t="s">
        <v>70</v>
      </c>
      <c r="J76" s="7"/>
    </row>
    <row r="77" customFormat="false" ht="12.8" hidden="false" customHeight="false" outlineLevel="0" collapsed="false">
      <c r="A77" s="6" t="s">
        <v>5</v>
      </c>
      <c r="B77" s="1" t="n">
        <v>44452</v>
      </c>
      <c r="C77" s="2" t="n">
        <v>0.4</v>
      </c>
      <c r="G77" s="5" t="n">
        <f aca="false">SUM(C77:F77)</f>
        <v>0.4</v>
      </c>
      <c r="H77" s="7"/>
      <c r="I77" s="8" t="s">
        <v>71</v>
      </c>
      <c r="J77" s="7"/>
    </row>
    <row r="78" customFormat="false" ht="12.8" hidden="false" customHeight="false" outlineLevel="0" collapsed="false">
      <c r="A78" s="6" t="s">
        <v>6</v>
      </c>
      <c r="B78" s="1" t="n">
        <v>44454</v>
      </c>
      <c r="C78" s="2" t="n">
        <f aca="false">48/60</f>
        <v>0.8</v>
      </c>
      <c r="G78" s="5" t="n">
        <f aca="false">SUM(C78:F78)</f>
        <v>0.8</v>
      </c>
      <c r="H78" s="7"/>
      <c r="I78" s="8" t="s">
        <v>72</v>
      </c>
      <c r="J78" s="7"/>
    </row>
    <row r="79" customFormat="false" ht="12.8" hidden="false" customHeight="false" outlineLevel="0" collapsed="false">
      <c r="A79" s="6" t="s">
        <v>15</v>
      </c>
      <c r="B79" s="1" t="n">
        <v>44457</v>
      </c>
      <c r="C79" s="2" t="n">
        <f aca="false">20/60</f>
        <v>0.333333333333333</v>
      </c>
      <c r="G79" s="5" t="n">
        <f aca="false">SUM(C79:F79)</f>
        <v>0.333333333333333</v>
      </c>
      <c r="H79" s="7"/>
      <c r="I79" s="8" t="s">
        <v>73</v>
      </c>
      <c r="J79" s="7"/>
    </row>
    <row r="80" customFormat="false" ht="12.8" hidden="false" customHeight="false" outlineLevel="0" collapsed="false">
      <c r="A80" s="6" t="s">
        <v>6</v>
      </c>
      <c r="B80" s="1" t="n">
        <v>44468</v>
      </c>
      <c r="C80" s="2" t="n">
        <v>0.2</v>
      </c>
      <c r="G80" s="5" t="n">
        <f aca="false">SUM(C80:F80)</f>
        <v>0.2</v>
      </c>
      <c r="H80" s="7"/>
      <c r="I80" s="8" t="s">
        <v>74</v>
      </c>
      <c r="J80" s="7"/>
    </row>
    <row r="81" customFormat="false" ht="12.8" hidden="false" customHeight="false" outlineLevel="0" collapsed="false">
      <c r="H81" s="7"/>
      <c r="I81" s="8"/>
      <c r="J81" s="7"/>
    </row>
    <row r="82" customFormat="false" ht="12.8" hidden="false" customHeight="false" outlineLevel="0" collapsed="false">
      <c r="G82" s="9" t="n">
        <f aca="false">SUM(G36:G81)</f>
        <v>38.8</v>
      </c>
      <c r="H82" s="7" t="n">
        <v>45</v>
      </c>
      <c r="I82" s="8" t="n">
        <f aca="false">G82*H82</f>
        <v>1746</v>
      </c>
      <c r="J82" s="7"/>
    </row>
    <row r="83" customFormat="false" ht="12.8" hidden="false" customHeight="false" outlineLevel="0" collapsed="false">
      <c r="G83" s="11"/>
      <c r="H83" s="7"/>
      <c r="I83" s="8"/>
      <c r="J83" s="7"/>
    </row>
    <row r="84" customFormat="false" ht="12.8" hidden="false" customHeight="false" outlineLevel="0" collapsed="false">
      <c r="A84" s="6" t="s">
        <v>15</v>
      </c>
      <c r="B84" s="1" t="n">
        <v>44478</v>
      </c>
      <c r="C84" s="2" t="n">
        <v>0.5</v>
      </c>
      <c r="G84" s="5" t="n">
        <f aca="false">SUM(C84:F84)</f>
        <v>0.5</v>
      </c>
      <c r="H84" s="7"/>
      <c r="I84" s="8" t="s">
        <v>75</v>
      </c>
      <c r="J84" s="7"/>
    </row>
    <row r="85" customFormat="false" ht="12.8" hidden="false" customHeight="false" outlineLevel="0" collapsed="false">
      <c r="A85" s="6" t="s">
        <v>4</v>
      </c>
      <c r="B85" s="1" t="n">
        <v>44479</v>
      </c>
      <c r="C85" s="2" t="n">
        <v>0.2</v>
      </c>
      <c r="D85" s="2" t="n">
        <f aca="false">15/60</f>
        <v>0.25</v>
      </c>
      <c r="E85" s="2" t="n">
        <f aca="false">65/60</f>
        <v>1.08333333333333</v>
      </c>
      <c r="G85" s="5" t="n">
        <f aca="false">SUM(C85:F85)</f>
        <v>1.53333333333333</v>
      </c>
      <c r="H85" s="7"/>
      <c r="I85" s="8" t="s">
        <v>76</v>
      </c>
      <c r="J85" s="7"/>
    </row>
    <row r="86" customFormat="false" ht="12.8" hidden="false" customHeight="false" outlineLevel="0" collapsed="false">
      <c r="A86" s="6" t="s">
        <v>5</v>
      </c>
      <c r="B86" s="1" t="n">
        <v>44480</v>
      </c>
      <c r="C86" s="2" t="n">
        <f aca="false">51/60</f>
        <v>0.85</v>
      </c>
      <c r="G86" s="5" t="n">
        <f aca="false">SUM(C86:F86)</f>
        <v>0.85</v>
      </c>
      <c r="H86" s="7"/>
      <c r="I86" s="8" t="s">
        <v>77</v>
      </c>
      <c r="J86" s="7"/>
    </row>
    <row r="87" customFormat="false" ht="12.8" hidden="false" customHeight="false" outlineLevel="0" collapsed="false">
      <c r="A87" s="6" t="s">
        <v>10</v>
      </c>
      <c r="B87" s="1" t="n">
        <v>44481</v>
      </c>
      <c r="C87" s="2" t="n">
        <f aca="false">9/60</f>
        <v>0.15</v>
      </c>
      <c r="G87" s="5" t="n">
        <f aca="false">SUM(C87:F87)</f>
        <v>0.15</v>
      </c>
      <c r="I87" s="8" t="s">
        <v>78</v>
      </c>
    </row>
    <row r="88" customFormat="false" ht="12.8" hidden="false" customHeight="false" outlineLevel="0" collapsed="false">
      <c r="A88" s="6" t="s">
        <v>2</v>
      </c>
      <c r="B88" s="1" t="n">
        <v>44483</v>
      </c>
      <c r="C88" s="2" t="n">
        <f aca="false">28/60</f>
        <v>0.466666666666667</v>
      </c>
      <c r="G88" s="5" t="n">
        <f aca="false">SUM(C88:F88)</f>
        <v>0.466666666666667</v>
      </c>
      <c r="I88" s="8" t="s">
        <v>79</v>
      </c>
    </row>
    <row r="89" customFormat="false" ht="12.8" hidden="false" customHeight="false" outlineLevel="0" collapsed="false">
      <c r="A89" s="6" t="s">
        <v>6</v>
      </c>
      <c r="B89" s="1" t="n">
        <v>44489</v>
      </c>
      <c r="C89" s="2" t="n">
        <f aca="false">6/60</f>
        <v>0.1</v>
      </c>
      <c r="G89" s="5" t="n">
        <f aca="false">SUM(C89:F89)</f>
        <v>0.1</v>
      </c>
      <c r="I89" s="8" t="s">
        <v>80</v>
      </c>
    </row>
    <row r="90" customFormat="false" ht="12.8" hidden="false" customHeight="false" outlineLevel="0" collapsed="false">
      <c r="A90" s="6" t="s">
        <v>3</v>
      </c>
      <c r="B90" s="1" t="n">
        <v>44491</v>
      </c>
      <c r="C90" s="2" t="n">
        <f aca="false">50/60</f>
        <v>0.833333333333333</v>
      </c>
      <c r="G90" s="5" t="n">
        <f aca="false">SUM(C90:F90)</f>
        <v>0.833333333333333</v>
      </c>
      <c r="I90" s="8" t="s">
        <v>81</v>
      </c>
    </row>
    <row r="91" customFormat="false" ht="12.8" hidden="false" customHeight="false" outlineLevel="0" collapsed="false">
      <c r="A91" s="6" t="s">
        <v>4</v>
      </c>
      <c r="B91" s="1" t="n">
        <v>44493</v>
      </c>
      <c r="C91" s="2" t="n">
        <f aca="false">117/60</f>
        <v>1.95</v>
      </c>
      <c r="D91" s="2" t="n">
        <f aca="false">30/60</f>
        <v>0.5</v>
      </c>
      <c r="G91" s="5" t="n">
        <f aca="false">SUM(C91:F91)</f>
        <v>2.45</v>
      </c>
      <c r="I91" s="8" t="s">
        <v>82</v>
      </c>
    </row>
    <row r="92" customFormat="false" ht="23.45" hidden="false" customHeight="false" outlineLevel="0" collapsed="false">
      <c r="A92" s="6" t="s">
        <v>15</v>
      </c>
      <c r="B92" s="1" t="n">
        <v>44506</v>
      </c>
      <c r="C92" s="2" t="n">
        <v>0.5</v>
      </c>
      <c r="D92" s="2" t="n">
        <f aca="false">38/60</f>
        <v>0.633333333333333</v>
      </c>
      <c r="E92" s="2" t="n">
        <f aca="false">28/60</f>
        <v>0.466666666666667</v>
      </c>
      <c r="G92" s="5" t="n">
        <f aca="false">SUM(C92:F92)</f>
        <v>1.6</v>
      </c>
      <c r="I92" s="8" t="s">
        <v>83</v>
      </c>
    </row>
    <row r="93" customFormat="false" ht="12.8" hidden="false" customHeight="false" outlineLevel="0" collapsed="false">
      <c r="A93" s="6" t="s">
        <v>10</v>
      </c>
      <c r="B93" s="1" t="n">
        <v>44523</v>
      </c>
      <c r="C93" s="2" t="n">
        <f aca="false">24/60</f>
        <v>0.4</v>
      </c>
      <c r="G93" s="5" t="n">
        <f aca="false">SUM(C93:F93)</f>
        <v>0.4</v>
      </c>
      <c r="I93" s="8" t="s">
        <v>84</v>
      </c>
    </row>
    <row r="94" customFormat="false" ht="12.8" hidden="false" customHeight="false" outlineLevel="0" collapsed="false">
      <c r="A94" s="6" t="s">
        <v>6</v>
      </c>
      <c r="B94" s="1" t="n">
        <v>44524</v>
      </c>
      <c r="C94" s="2" t="n">
        <f aca="false">24/60</f>
        <v>0.4</v>
      </c>
      <c r="G94" s="5" t="n">
        <f aca="false">SUM(C94:F94)</f>
        <v>0.4</v>
      </c>
      <c r="I94" s="8" t="s">
        <v>85</v>
      </c>
    </row>
    <row r="95" customFormat="false" ht="12.8" hidden="false" customHeight="false" outlineLevel="0" collapsed="false">
      <c r="A95" s="6" t="s">
        <v>2</v>
      </c>
      <c r="B95" s="1" t="n">
        <v>44525</v>
      </c>
      <c r="C95" s="2" t="n">
        <f aca="false">39/60</f>
        <v>0.65</v>
      </c>
      <c r="D95" s="2" t="n">
        <f aca="false">12/60</f>
        <v>0.2</v>
      </c>
      <c r="E95" s="2" t="n">
        <f aca="false">40/60</f>
        <v>0.666666666666667</v>
      </c>
      <c r="G95" s="5" t="n">
        <f aca="false">SUM(C95:F95)</f>
        <v>1.51666666666667</v>
      </c>
      <c r="I95" s="8" t="s">
        <v>86</v>
      </c>
    </row>
    <row r="96" customFormat="false" ht="23.8" hidden="false" customHeight="false" outlineLevel="0" collapsed="false">
      <c r="A96" s="6" t="s">
        <v>15</v>
      </c>
      <c r="B96" s="1" t="n">
        <v>44541</v>
      </c>
      <c r="C96" s="2" t="n">
        <f aca="false">13/60</f>
        <v>0.216666666666667</v>
      </c>
      <c r="G96" s="5" t="n">
        <f aca="false">SUM(C96:F96)</f>
        <v>0.216666666666667</v>
      </c>
      <c r="I96" s="8" t="s">
        <v>87</v>
      </c>
    </row>
    <row r="97" customFormat="false" ht="12.8" hidden="false" customHeight="false" outlineLevel="0" collapsed="false">
      <c r="A97" s="6" t="s">
        <v>10</v>
      </c>
      <c r="B97" s="1" t="n">
        <v>44544</v>
      </c>
      <c r="C97" s="2" t="n">
        <f aca="false">24/60</f>
        <v>0.4</v>
      </c>
      <c r="G97" s="5" t="n">
        <f aca="false">SUM(C97:F97)</f>
        <v>0.4</v>
      </c>
      <c r="I97" s="8" t="s">
        <v>88</v>
      </c>
    </row>
    <row r="98" customFormat="false" ht="12.8" hidden="false" customHeight="false" outlineLevel="0" collapsed="false">
      <c r="A98" s="6" t="s">
        <v>6</v>
      </c>
      <c r="B98" s="1" t="n">
        <v>44545</v>
      </c>
      <c r="C98" s="2" t="n">
        <f aca="false">29/60</f>
        <v>0.483333333333333</v>
      </c>
      <c r="G98" s="5" t="n">
        <f aca="false">SUM(C98:F98)</f>
        <v>0.483333333333333</v>
      </c>
      <c r="I98" s="8" t="s">
        <v>89</v>
      </c>
    </row>
    <row r="99" customFormat="false" ht="23.45" hidden="false" customHeight="false" outlineLevel="0" collapsed="false">
      <c r="A99" s="6" t="s">
        <v>90</v>
      </c>
      <c r="B99" s="1" t="n">
        <v>44547</v>
      </c>
      <c r="C99" s="2" t="n">
        <f aca="false">11/60</f>
        <v>0.183333333333333</v>
      </c>
      <c r="D99" s="2" t="n">
        <f aca="false">41/60</f>
        <v>0.683333333333333</v>
      </c>
      <c r="G99" s="5" t="n">
        <f aca="false">SUM(C99:F99)</f>
        <v>0.866666666666667</v>
      </c>
      <c r="I99" s="8" t="s">
        <v>91</v>
      </c>
    </row>
    <row r="100" customFormat="false" ht="12.8" hidden="false" customHeight="false" outlineLevel="0" collapsed="false">
      <c r="A100" s="6" t="s">
        <v>6</v>
      </c>
      <c r="B100" s="1" t="n">
        <v>44559</v>
      </c>
      <c r="C100" s="2" t="n">
        <v>0.25</v>
      </c>
      <c r="D100" s="2" t="n">
        <f aca="false">25/60</f>
        <v>0.416666666666667</v>
      </c>
      <c r="G100" s="5" t="n">
        <f aca="false">SUM(C100:F100)</f>
        <v>0.666666666666667</v>
      </c>
      <c r="I100" s="8" t="s">
        <v>92</v>
      </c>
    </row>
    <row r="101" customFormat="false" ht="12.8" hidden="false" customHeight="false" outlineLevel="0" collapsed="false">
      <c r="A101" s="6" t="s">
        <v>5</v>
      </c>
      <c r="B101" s="1" t="n">
        <v>44571</v>
      </c>
      <c r="C101" s="2" t="n">
        <f aca="false">28/60</f>
        <v>0.466666666666667</v>
      </c>
      <c r="D101" s="2" t="n">
        <f aca="false">30/60</f>
        <v>0.5</v>
      </c>
      <c r="G101" s="5" t="n">
        <f aca="false">SUM(C101:F101)</f>
        <v>0.966666666666667</v>
      </c>
      <c r="I101" s="8" t="s">
        <v>93</v>
      </c>
    </row>
    <row r="102" customFormat="false" ht="12.8" hidden="false" customHeight="false" outlineLevel="0" collapsed="false">
      <c r="A102" s="6" t="s">
        <v>10</v>
      </c>
      <c r="B102" s="1" t="n">
        <v>44572</v>
      </c>
      <c r="C102" s="2" t="n">
        <f aca="false">44/60</f>
        <v>0.733333333333333</v>
      </c>
      <c r="G102" s="5" t="n">
        <f aca="false">SUM(C102:F102)</f>
        <v>0.733333333333333</v>
      </c>
      <c r="I102" s="8" t="s">
        <v>94</v>
      </c>
    </row>
    <row r="103" customFormat="false" ht="23.45" hidden="false" customHeight="false" outlineLevel="0" collapsed="false">
      <c r="A103" s="6" t="s">
        <v>6</v>
      </c>
      <c r="B103" s="1" t="n">
        <v>44573</v>
      </c>
      <c r="C103" s="2" t="n">
        <f aca="false">83/60</f>
        <v>1.38333333333333</v>
      </c>
      <c r="D103" s="2" t="n">
        <f aca="false">43/60</f>
        <v>0.716666666666667</v>
      </c>
      <c r="G103" s="5" t="n">
        <f aca="false">SUM(C103:F103)</f>
        <v>2.1</v>
      </c>
      <c r="I103" s="8" t="s">
        <v>95</v>
      </c>
    </row>
    <row r="104" customFormat="false" ht="12.8" hidden="false" customHeight="false" outlineLevel="0" collapsed="false">
      <c r="A104" s="6" t="s">
        <v>96</v>
      </c>
      <c r="B104" s="1" t="n">
        <v>44574</v>
      </c>
      <c r="C104" s="2" t="n">
        <f aca="false">72/60</f>
        <v>1.2</v>
      </c>
      <c r="D104" s="2" t="n">
        <f aca="false">15/60</f>
        <v>0.25</v>
      </c>
      <c r="G104" s="5" t="n">
        <f aca="false">SUM(C104:F104)</f>
        <v>1.45</v>
      </c>
      <c r="I104" s="8" t="s">
        <v>97</v>
      </c>
    </row>
    <row r="105" customFormat="false" ht="12.8" hidden="false" customHeight="false" outlineLevel="0" collapsed="false">
      <c r="A105" s="6" t="s">
        <v>3</v>
      </c>
      <c r="B105" s="1" t="n">
        <v>44575</v>
      </c>
      <c r="C105" s="2" t="n">
        <f aca="false">51/60</f>
        <v>0.85</v>
      </c>
      <c r="G105" s="5" t="n">
        <f aca="false">SUM(C105:F105)</f>
        <v>0.85</v>
      </c>
      <c r="I105" s="8" t="s">
        <v>98</v>
      </c>
    </row>
    <row r="106" customFormat="false" ht="23.45" hidden="false" customHeight="false" outlineLevel="0" collapsed="false">
      <c r="A106" s="6" t="s">
        <v>15</v>
      </c>
      <c r="B106" s="1" t="n">
        <v>44583</v>
      </c>
      <c r="C106" s="2" t="n">
        <f aca="false">38/60</f>
        <v>0.633333333333333</v>
      </c>
      <c r="D106" s="2" t="n">
        <f aca="false">7/60</f>
        <v>0.116666666666667</v>
      </c>
      <c r="G106" s="5" t="n">
        <f aca="false">SUM(C106:F106)</f>
        <v>0.75</v>
      </c>
      <c r="I106" s="8" t="s">
        <v>99</v>
      </c>
    </row>
    <row r="107" customFormat="false" ht="12.8" hidden="false" customHeight="false" outlineLevel="0" collapsed="false">
      <c r="A107" s="6" t="s">
        <v>6</v>
      </c>
      <c r="B107" s="1" t="n">
        <v>44587</v>
      </c>
      <c r="C107" s="2" t="n">
        <f aca="false">31/60</f>
        <v>0.516666666666667</v>
      </c>
      <c r="G107" s="5" t="n">
        <f aca="false">SUM(C107:F107)</f>
        <v>0.516666666666667</v>
      </c>
      <c r="I107" s="8" t="s">
        <v>100</v>
      </c>
    </row>
    <row r="108" customFormat="false" ht="12.8" hidden="false" customHeight="false" outlineLevel="0" collapsed="false">
      <c r="A108" s="6" t="s">
        <v>15</v>
      </c>
      <c r="B108" s="1" t="n">
        <v>44590</v>
      </c>
      <c r="C108" s="2" t="n">
        <f aca="false">25/60</f>
        <v>0.416666666666667</v>
      </c>
      <c r="G108" s="5" t="n">
        <f aca="false">SUM(C108:F108)</f>
        <v>0.416666666666667</v>
      </c>
      <c r="I108" s="8" t="s">
        <v>101</v>
      </c>
    </row>
    <row r="109" customFormat="false" ht="23.8" hidden="false" customHeight="false" outlineLevel="0" collapsed="false">
      <c r="A109" s="6" t="s">
        <v>4</v>
      </c>
      <c r="B109" s="1" t="n">
        <v>44591</v>
      </c>
      <c r="C109" s="2" t="n">
        <f aca="false">126/60</f>
        <v>2.1</v>
      </c>
      <c r="G109" s="5" t="n">
        <f aca="false">SUM(C109:F109)</f>
        <v>2.1</v>
      </c>
      <c r="I109" s="8" t="s">
        <v>102</v>
      </c>
    </row>
    <row r="110" customFormat="false" ht="12.8" hidden="false" customHeight="false" outlineLevel="0" collapsed="false">
      <c r="A110" s="6" t="s">
        <v>5</v>
      </c>
      <c r="B110" s="1" t="n">
        <v>44592</v>
      </c>
      <c r="C110" s="2" t="n">
        <f aca="false">55/60</f>
        <v>0.916666666666667</v>
      </c>
      <c r="G110" s="5" t="n">
        <f aca="false">SUM(C110:F110)</f>
        <v>0.916666666666667</v>
      </c>
      <c r="I110" s="8" t="s">
        <v>103</v>
      </c>
    </row>
    <row r="111" customFormat="false" ht="12.8" hidden="false" customHeight="false" outlineLevel="0" collapsed="false">
      <c r="A111" s="6" t="s">
        <v>10</v>
      </c>
      <c r="B111" s="1" t="n">
        <v>44593</v>
      </c>
      <c r="C111" s="2" t="n">
        <f aca="false">27/60</f>
        <v>0.45</v>
      </c>
      <c r="G111" s="5" t="n">
        <f aca="false">SUM(C111:F111)</f>
        <v>0.45</v>
      </c>
      <c r="I111" s="8" t="s">
        <v>104</v>
      </c>
    </row>
    <row r="112" customFormat="false" ht="23.45" hidden="false" customHeight="false" outlineLevel="0" collapsed="false">
      <c r="A112" s="6" t="s">
        <v>6</v>
      </c>
      <c r="B112" s="1" t="n">
        <v>44594</v>
      </c>
      <c r="C112" s="2" t="n">
        <f aca="false">20/60</f>
        <v>0.333333333333333</v>
      </c>
      <c r="D112" s="2" t="n">
        <f aca="false">31/60</f>
        <v>0.516666666666667</v>
      </c>
      <c r="E112" s="2" t="n">
        <f aca="false">33/60</f>
        <v>0.55</v>
      </c>
      <c r="G112" s="5" t="n">
        <f aca="false">SUM(C112:F112)</f>
        <v>1.4</v>
      </c>
      <c r="I112" s="8" t="s">
        <v>105</v>
      </c>
    </row>
    <row r="113" customFormat="false" ht="12.8" hidden="false" customHeight="false" outlineLevel="0" collapsed="false">
      <c r="A113" s="6" t="s">
        <v>15</v>
      </c>
      <c r="B113" s="1" t="n">
        <v>44597</v>
      </c>
      <c r="C113" s="2" t="n">
        <v>0.4</v>
      </c>
      <c r="D113" s="2" t="n">
        <f aca="false">40/60</f>
        <v>0.666666666666667</v>
      </c>
      <c r="G113" s="5" t="n">
        <f aca="false">SUM(C113:F113)</f>
        <v>1.06666666666667</v>
      </c>
      <c r="I113" s="8" t="s">
        <v>106</v>
      </c>
    </row>
    <row r="114" customFormat="false" ht="12.8" hidden="false" customHeight="false" outlineLevel="0" collapsed="false">
      <c r="A114" s="6" t="s">
        <v>4</v>
      </c>
      <c r="B114" s="1" t="n">
        <v>44598</v>
      </c>
      <c r="C114" s="2" t="n">
        <f aca="false">21/60</f>
        <v>0.35</v>
      </c>
      <c r="G114" s="5" t="n">
        <f aca="false">SUM(C114:F114)</f>
        <v>0.35</v>
      </c>
      <c r="I114" s="8" t="s">
        <v>107</v>
      </c>
    </row>
    <row r="115" customFormat="false" ht="12.8" hidden="false" customHeight="false" outlineLevel="0" collapsed="false">
      <c r="A115" s="6" t="s">
        <v>5</v>
      </c>
      <c r="B115" s="1" t="n">
        <v>44599</v>
      </c>
      <c r="C115" s="2" t="n">
        <f aca="false">20/60</f>
        <v>0.333333333333333</v>
      </c>
      <c r="D115" s="2" t="n">
        <f aca="false">31/60</f>
        <v>0.516666666666667</v>
      </c>
      <c r="G115" s="5" t="n">
        <f aca="false">SUM(C115:F115)</f>
        <v>0.85</v>
      </c>
      <c r="I115" s="8" t="s">
        <v>108</v>
      </c>
    </row>
    <row r="116" customFormat="false" ht="12.8" hidden="false" customHeight="false" outlineLevel="0" collapsed="false">
      <c r="A116" s="6" t="s">
        <v>6</v>
      </c>
      <c r="B116" s="1" t="n">
        <v>44601</v>
      </c>
      <c r="C116" s="2" t="n">
        <f aca="false">10/60</f>
        <v>0.166666666666667</v>
      </c>
      <c r="D116" s="2" t="n">
        <f aca="false">46/60</f>
        <v>0.766666666666667</v>
      </c>
      <c r="G116" s="5" t="n">
        <f aca="false">SUM(C116:F116)</f>
        <v>0.933333333333333</v>
      </c>
      <c r="I116" s="8" t="s">
        <v>109</v>
      </c>
    </row>
    <row r="117" customFormat="false" ht="12.8" hidden="false" customHeight="false" outlineLevel="0" collapsed="false">
      <c r="A117" s="6" t="s">
        <v>3</v>
      </c>
      <c r="B117" s="1" t="n">
        <v>44603</v>
      </c>
      <c r="C117" s="2" t="n">
        <v>0.3</v>
      </c>
      <c r="D117" s="2" t="n">
        <v>0.25</v>
      </c>
      <c r="E117" s="2" t="n">
        <v>0.25</v>
      </c>
      <c r="G117" s="5" t="n">
        <f aca="false">SUM(C117:F117)</f>
        <v>0.8</v>
      </c>
      <c r="I117" s="3" t="s">
        <v>110</v>
      </c>
    </row>
    <row r="118" customFormat="false" ht="12.8" hidden="false" customHeight="false" outlineLevel="0" collapsed="false">
      <c r="A118" s="6" t="s">
        <v>15</v>
      </c>
      <c r="B118" s="1" t="n">
        <v>44604</v>
      </c>
      <c r="C118" s="2" t="n">
        <v>0.25</v>
      </c>
      <c r="G118" s="5" t="n">
        <f aca="false">SUM(C118:F118)</f>
        <v>0.25</v>
      </c>
      <c r="I118" s="3" t="s">
        <v>111</v>
      </c>
    </row>
    <row r="119" customFormat="false" ht="12.8" hidden="false" customHeight="false" outlineLevel="0" collapsed="false">
      <c r="A119" s="6" t="s">
        <v>6</v>
      </c>
      <c r="B119" s="1" t="n">
        <v>44608</v>
      </c>
      <c r="C119" s="2" t="n">
        <f aca="false">6/60</f>
        <v>0.1</v>
      </c>
      <c r="G119" s="5" t="n">
        <f aca="false">SUM(C119:F119)</f>
        <v>0.1</v>
      </c>
      <c r="I119" s="3" t="s">
        <v>112</v>
      </c>
    </row>
    <row r="120" customFormat="false" ht="12.8" hidden="false" customHeight="false" outlineLevel="0" collapsed="false">
      <c r="A120" s="6" t="s">
        <v>3</v>
      </c>
      <c r="B120" s="1" t="n">
        <v>44610</v>
      </c>
      <c r="C120" s="2" t="n">
        <v>0.1</v>
      </c>
      <c r="G120" s="5" t="n">
        <f aca="false">SUM(C120:F120)</f>
        <v>0.1</v>
      </c>
      <c r="I120" s="3" t="s">
        <v>113</v>
      </c>
    </row>
    <row r="121" customFormat="false" ht="12.8" hidden="false" customHeight="false" outlineLevel="0" collapsed="false">
      <c r="A121" s="6" t="s">
        <v>5</v>
      </c>
      <c r="B121" s="1" t="n">
        <v>44613</v>
      </c>
      <c r="C121" s="2" t="n">
        <v>0.1</v>
      </c>
      <c r="G121" s="5" t="n">
        <f aca="false">SUM(C121:F121)</f>
        <v>0.1</v>
      </c>
      <c r="I121" s="3" t="s">
        <v>114</v>
      </c>
    </row>
    <row r="122" customFormat="false" ht="12.8" hidden="false" customHeight="false" outlineLevel="0" collapsed="false">
      <c r="A122" s="6" t="s">
        <v>4</v>
      </c>
      <c r="B122" s="1" t="n">
        <v>44619</v>
      </c>
      <c r="C122" s="2" t="n">
        <v>0.5</v>
      </c>
      <c r="D122" s="2" t="n">
        <v>0.55</v>
      </c>
      <c r="E122" s="2" t="n">
        <f aca="false">35/60</f>
        <v>0.583333333333333</v>
      </c>
      <c r="G122" s="5" t="n">
        <f aca="false">SUM(C122:F122)</f>
        <v>1.63333333333333</v>
      </c>
      <c r="I122" s="3" t="s">
        <v>115</v>
      </c>
    </row>
    <row r="123" customFormat="false" ht="12.8" hidden="false" customHeight="false" outlineLevel="0" collapsed="false">
      <c r="A123" s="6" t="s">
        <v>5</v>
      </c>
      <c r="B123" s="1" t="n">
        <v>44620</v>
      </c>
      <c r="C123" s="2" t="n">
        <f aca="false">63/60</f>
        <v>1.05</v>
      </c>
      <c r="D123" s="2" t="n">
        <v>0.5</v>
      </c>
      <c r="G123" s="5" t="n">
        <f aca="false">SUM(C123:F123)</f>
        <v>1.55</v>
      </c>
      <c r="I123" s="3" t="s">
        <v>116</v>
      </c>
    </row>
    <row r="124" customFormat="false" ht="12.8" hidden="false" customHeight="false" outlineLevel="0" collapsed="false">
      <c r="A124" s="6" t="s">
        <v>10</v>
      </c>
      <c r="B124" s="1" t="n">
        <v>44621</v>
      </c>
      <c r="C124" s="2" t="n">
        <f aca="false">23/60</f>
        <v>0.383333333333333</v>
      </c>
      <c r="G124" s="5" t="n">
        <f aca="false">SUM(C124:F124)</f>
        <v>0.383333333333333</v>
      </c>
      <c r="I124" s="3" t="s">
        <v>116</v>
      </c>
    </row>
    <row r="125" customFormat="false" ht="12.8" hidden="false" customHeight="false" outlineLevel="0" collapsed="false">
      <c r="A125" s="6" t="s">
        <v>4</v>
      </c>
      <c r="B125" s="1" t="n">
        <v>44647</v>
      </c>
      <c r="C125" s="2" t="n">
        <f aca="false">23/60</f>
        <v>0.383333333333333</v>
      </c>
      <c r="D125" s="2" t="n">
        <f aca="false">29/60</f>
        <v>0.483333333333333</v>
      </c>
      <c r="E125" s="2" t="n">
        <f aca="false">28/60</f>
        <v>0.466666666666667</v>
      </c>
      <c r="G125" s="5" t="n">
        <f aca="false">SUM(C125:F125)</f>
        <v>1.33333333333333</v>
      </c>
      <c r="I125" s="3" t="s">
        <v>117</v>
      </c>
    </row>
    <row r="126" customFormat="false" ht="12.8" hidden="false" customHeight="false" outlineLevel="0" collapsed="false">
      <c r="A126" s="6" t="s">
        <v>5</v>
      </c>
      <c r="B126" s="1" t="n">
        <v>44648</v>
      </c>
      <c r="C126" s="2" t="n">
        <f aca="false">28/60</f>
        <v>0.466666666666667</v>
      </c>
      <c r="D126" s="2" t="n">
        <f aca="false">6/60</f>
        <v>0.1</v>
      </c>
      <c r="G126" s="5" t="n">
        <f aca="false">SUM(C126:F126)</f>
        <v>0.566666666666667</v>
      </c>
      <c r="I126" s="3" t="s">
        <v>118</v>
      </c>
    </row>
    <row r="127" customFormat="false" ht="12.8" hidden="false" customHeight="false" outlineLevel="0" collapsed="false">
      <c r="A127" s="6" t="s">
        <v>6</v>
      </c>
      <c r="B127" s="1" t="n">
        <v>44650</v>
      </c>
      <c r="C127" s="2" t="n">
        <f aca="false">52/60</f>
        <v>0.866666666666667</v>
      </c>
      <c r="G127" s="5" t="n">
        <f aca="false">SUM(C127:F127)</f>
        <v>0.866666666666667</v>
      </c>
      <c r="I127" s="3" t="s">
        <v>119</v>
      </c>
    </row>
    <row r="128" customFormat="false" ht="12.8" hidden="false" customHeight="false" outlineLevel="0" collapsed="false">
      <c r="A128" s="6" t="s">
        <v>10</v>
      </c>
      <c r="B128" s="1" t="n">
        <v>44690</v>
      </c>
      <c r="C128" s="2" t="n">
        <v>0.3</v>
      </c>
      <c r="G128" s="5" t="n">
        <f aca="false">SUM(C128:F128)</f>
        <v>0.3</v>
      </c>
      <c r="I128" s="3" t="s">
        <v>120</v>
      </c>
    </row>
    <row r="129" customFormat="false" ht="12.8" hidden="false" customHeight="false" outlineLevel="0" collapsed="false">
      <c r="A129" s="6" t="s">
        <v>15</v>
      </c>
      <c r="B129" s="1" t="n">
        <v>44702</v>
      </c>
      <c r="C129" s="2" t="n">
        <f aca="false">37/60</f>
        <v>0.616666666666667</v>
      </c>
      <c r="D129" s="2" t="n">
        <f aca="false">32/60</f>
        <v>0.533333333333333</v>
      </c>
      <c r="G129" s="5" t="n">
        <f aca="false">SUM(C129:F129)</f>
        <v>1.15</v>
      </c>
      <c r="I129" s="3" t="s">
        <v>121</v>
      </c>
    </row>
    <row r="130" customFormat="false" ht="12.8" hidden="false" customHeight="false" outlineLevel="0" collapsed="false">
      <c r="A130" s="6" t="s">
        <v>4</v>
      </c>
      <c r="B130" s="1" t="n">
        <v>44703</v>
      </c>
      <c r="C130" s="2" t="n">
        <f aca="false">65/60</f>
        <v>1.08333333333333</v>
      </c>
      <c r="D130" s="2" t="n">
        <f aca="false">34/60</f>
        <v>0.566666666666667</v>
      </c>
      <c r="E130" s="2" t="n">
        <f aca="false">10/60</f>
        <v>0.166666666666667</v>
      </c>
      <c r="G130" s="5" t="n">
        <f aca="false">SUM(C130:F130)</f>
        <v>1.81666666666666</v>
      </c>
      <c r="I130" s="3" t="s">
        <v>122</v>
      </c>
    </row>
    <row r="131" customFormat="false" ht="12.8" hidden="false" customHeight="false" outlineLevel="0" collapsed="false">
      <c r="A131" s="6" t="s">
        <v>123</v>
      </c>
      <c r="B131" s="1" t="n">
        <v>44704</v>
      </c>
      <c r="C131" s="2" t="n">
        <f aca="false">20/60</f>
        <v>0.333333333333333</v>
      </c>
      <c r="D131" s="2" t="n">
        <f aca="false">21/60</f>
        <v>0.35</v>
      </c>
      <c r="E131" s="2" t="n">
        <f aca="false">28/60</f>
        <v>0.466666666666667</v>
      </c>
      <c r="G131" s="5" t="n">
        <f aca="false">SUM(C131:F131)</f>
        <v>1.15</v>
      </c>
      <c r="I131" s="3" t="s">
        <v>124</v>
      </c>
    </row>
    <row r="132" customFormat="false" ht="12.8" hidden="false" customHeight="false" outlineLevel="0" collapsed="false">
      <c r="A132" s="6" t="s">
        <v>10</v>
      </c>
      <c r="B132" s="1" t="n">
        <v>44705</v>
      </c>
      <c r="C132" s="2" t="n">
        <f aca="false">29/60</f>
        <v>0.483333333333333</v>
      </c>
      <c r="G132" s="5" t="n">
        <f aca="false">SUM(C132:F132)</f>
        <v>0.483333333333333</v>
      </c>
      <c r="I132" s="3" t="s">
        <v>122</v>
      </c>
    </row>
    <row r="133" customFormat="false" ht="12.8" hidden="false" customHeight="false" outlineLevel="0" collapsed="false">
      <c r="A133" s="6" t="s">
        <v>6</v>
      </c>
      <c r="B133" s="1" t="n">
        <v>44706</v>
      </c>
      <c r="C133" s="2" t="n">
        <f aca="false">141/60</f>
        <v>2.35</v>
      </c>
      <c r="G133" s="5" t="n">
        <f aca="false">SUM(C133:F133)</f>
        <v>2.35</v>
      </c>
      <c r="I133" s="3" t="s">
        <v>122</v>
      </c>
    </row>
    <row r="134" customFormat="false" ht="12.8" hidden="false" customHeight="false" outlineLevel="0" collapsed="false">
      <c r="A134" s="6" t="s">
        <v>96</v>
      </c>
      <c r="B134" s="1" t="n">
        <v>44707</v>
      </c>
      <c r="C134" s="2" t="n">
        <f aca="false">55/60</f>
        <v>0.916666666666667</v>
      </c>
      <c r="G134" s="5" t="n">
        <f aca="false">SUM(C134:F134)</f>
        <v>0.916666666666667</v>
      </c>
      <c r="I134" s="3" t="s">
        <v>122</v>
      </c>
    </row>
    <row r="135" customFormat="false" ht="12.8" hidden="false" customHeight="false" outlineLevel="0" collapsed="false"/>
    <row r="136" customFormat="false" ht="12.8" hidden="false" customHeight="false" outlineLevel="0" collapsed="false">
      <c r="G136" s="9" t="n">
        <f aca="false">SUM(G83:G135)</f>
        <v>45.1333333333333</v>
      </c>
      <c r="I136" s="3" t="s">
        <v>125</v>
      </c>
    </row>
    <row r="139" customFormat="false" ht="12.8" hidden="false" customHeight="false" outlineLevel="0" collapsed="false">
      <c r="A139" s="6" t="s">
        <v>3</v>
      </c>
      <c r="B139" s="1" t="n">
        <v>44708</v>
      </c>
      <c r="C139" s="2" t="n">
        <f aca="false">15/60</f>
        <v>0.25</v>
      </c>
      <c r="D139" s="2" t="n">
        <f aca="false">31/60</f>
        <v>0.516666666666667</v>
      </c>
      <c r="E139" s="2" t="n">
        <f aca="false">44/60</f>
        <v>0.733333333333333</v>
      </c>
      <c r="F139" s="2" t="n">
        <f aca="false">9/60</f>
        <v>0.15</v>
      </c>
      <c r="G139" s="5" t="n">
        <f aca="false">SUM(C139:F139)</f>
        <v>1.65</v>
      </c>
      <c r="I139" s="3" t="s">
        <v>126</v>
      </c>
    </row>
    <row r="140" customFormat="false" ht="12.8" hidden="false" customHeight="false" outlineLevel="0" collapsed="false">
      <c r="A140" s="6" t="s">
        <v>5</v>
      </c>
      <c r="B140" s="1" t="n">
        <v>44711</v>
      </c>
      <c r="C140" s="2" t="n">
        <f aca="false">8/60</f>
        <v>0.133333333333333</v>
      </c>
      <c r="G140" s="5" t="n">
        <f aca="false">SUM(C140:F140)</f>
        <v>0.133333333333333</v>
      </c>
      <c r="I140" s="3" t="s">
        <v>127</v>
      </c>
    </row>
    <row r="141" customFormat="false" ht="12.8" hidden="false" customHeight="false" outlineLevel="0" collapsed="false">
      <c r="A141" s="6" t="s">
        <v>6</v>
      </c>
      <c r="B141" s="1" t="n">
        <v>44713</v>
      </c>
      <c r="C141" s="2" t="n">
        <f aca="false">10/60</f>
        <v>0.166666666666667</v>
      </c>
      <c r="D141" s="2" t="n">
        <f aca="false">55/60</f>
        <v>0.916666666666667</v>
      </c>
      <c r="G141" s="5" t="n">
        <f aca="false">SUM(C141:F141)</f>
        <v>1.08333333333333</v>
      </c>
      <c r="I141" s="3" t="s">
        <v>128</v>
      </c>
    </row>
    <row r="142" customFormat="false" ht="12.8" hidden="false" customHeight="false" outlineLevel="0" collapsed="false">
      <c r="A142" s="6" t="s">
        <v>3</v>
      </c>
      <c r="B142" s="1" t="n">
        <v>44715</v>
      </c>
      <c r="C142" s="2" t="n">
        <f aca="false">20/60</f>
        <v>0.333333333333333</v>
      </c>
      <c r="G142" s="5" t="n">
        <f aca="false">SUM(C142:F142)</f>
        <v>0.333333333333333</v>
      </c>
      <c r="I142" s="3" t="s">
        <v>129</v>
      </c>
    </row>
    <row r="143" customFormat="false" ht="12.8" hidden="false" customHeight="false" outlineLevel="0" collapsed="false">
      <c r="A143" s="6" t="s">
        <v>5</v>
      </c>
      <c r="B143" s="1" t="n">
        <v>44718</v>
      </c>
      <c r="C143" s="2" t="n">
        <f aca="false">54/60</f>
        <v>0.9</v>
      </c>
      <c r="G143" s="5" t="n">
        <f aca="false">SUM(C143:F143)</f>
        <v>0.9</v>
      </c>
      <c r="I143" s="3" t="s">
        <v>130</v>
      </c>
    </row>
    <row r="144" customFormat="false" ht="12.8" hidden="false" customHeight="false" outlineLevel="0" collapsed="false">
      <c r="A144" s="6" t="s">
        <v>10</v>
      </c>
      <c r="B144" s="1" t="n">
        <v>44719</v>
      </c>
      <c r="C144" s="2" t="n">
        <f aca="false">30/60</f>
        <v>0.5</v>
      </c>
      <c r="G144" s="5" t="n">
        <f aca="false">SUM(C144:F144)</f>
        <v>0.5</v>
      </c>
      <c r="I144" s="3" t="s">
        <v>131</v>
      </c>
    </row>
    <row r="145" customFormat="false" ht="12.8" hidden="false" customHeight="false" outlineLevel="0" collapsed="false">
      <c r="A145" s="6" t="s">
        <v>6</v>
      </c>
      <c r="B145" s="1" t="n">
        <v>44720</v>
      </c>
      <c r="C145" s="2" t="n">
        <f aca="false">44/60</f>
        <v>0.733333333333333</v>
      </c>
      <c r="G145" s="5" t="n">
        <f aca="false">SUM(C145:F145)</f>
        <v>0.733333333333333</v>
      </c>
      <c r="I145" s="3" t="s">
        <v>132</v>
      </c>
    </row>
    <row r="146" customFormat="false" ht="12.8" hidden="false" customHeight="false" outlineLevel="0" collapsed="false">
      <c r="A146" s="6" t="s">
        <v>96</v>
      </c>
      <c r="B146" s="1" t="n">
        <v>44721</v>
      </c>
      <c r="C146" s="2" t="n">
        <v>0.3</v>
      </c>
      <c r="G146" s="5" t="n">
        <f aca="false">SUM(C146:F146)</f>
        <v>0.3</v>
      </c>
      <c r="I146" s="3" t="s">
        <v>133</v>
      </c>
    </row>
    <row r="147" customFormat="false" ht="12.8" hidden="false" customHeight="false" outlineLevel="0" collapsed="false">
      <c r="A147" s="6" t="s">
        <v>3</v>
      </c>
      <c r="B147" s="1" t="n">
        <v>44729</v>
      </c>
      <c r="C147" s="2" t="n">
        <v>1</v>
      </c>
      <c r="G147" s="5" t="n">
        <f aca="false">SUM(C147:F147)</f>
        <v>1</v>
      </c>
      <c r="I147" s="3" t="s">
        <v>134</v>
      </c>
    </row>
    <row r="148" customFormat="false" ht="12.8" hidden="false" customHeight="false" outlineLevel="0" collapsed="false">
      <c r="A148" s="6" t="s">
        <v>4</v>
      </c>
      <c r="B148" s="1" t="n">
        <v>44731</v>
      </c>
      <c r="C148" s="2" t="n">
        <v>0.5</v>
      </c>
      <c r="D148" s="2" t="n">
        <f aca="false">42/60</f>
        <v>0.7</v>
      </c>
      <c r="G148" s="5" t="n">
        <f aca="false">SUM(C148:F148)</f>
        <v>1.2</v>
      </c>
      <c r="I148" s="3" t="s">
        <v>135</v>
      </c>
    </row>
    <row r="149" customFormat="false" ht="12.8" hidden="false" customHeight="false" outlineLevel="0" collapsed="false">
      <c r="A149" s="6" t="s">
        <v>6</v>
      </c>
      <c r="B149" s="1" t="n">
        <v>44734</v>
      </c>
      <c r="C149" s="2" t="n">
        <f aca="false">38/60</f>
        <v>0.633333333333333</v>
      </c>
      <c r="G149" s="5" t="n">
        <f aca="false">SUM(C149:F149)</f>
        <v>0.633333333333333</v>
      </c>
      <c r="I149" s="3" t="s">
        <v>135</v>
      </c>
    </row>
    <row r="150" customFormat="false" ht="12.8" hidden="false" customHeight="false" outlineLevel="0" collapsed="false">
      <c r="A150" s="6" t="s">
        <v>10</v>
      </c>
      <c r="B150" s="1" t="n">
        <v>44740</v>
      </c>
      <c r="C150" s="2" t="n">
        <v>0.5</v>
      </c>
      <c r="D150" s="2" t="n">
        <f aca="false">22/60</f>
        <v>0.366666666666667</v>
      </c>
      <c r="G150" s="5" t="n">
        <f aca="false">SUM(C150:F150)</f>
        <v>0.866666666666667</v>
      </c>
      <c r="I150" s="3" t="s">
        <v>136</v>
      </c>
    </row>
    <row r="151" customFormat="false" ht="12.8" hidden="false" customHeight="false" outlineLevel="0" collapsed="false">
      <c r="A151" s="6" t="s">
        <v>6</v>
      </c>
      <c r="B151" s="1" t="n">
        <v>44741</v>
      </c>
      <c r="C151" s="2" t="n">
        <f aca="false">42/60</f>
        <v>0.7</v>
      </c>
      <c r="D151" s="2" t="n">
        <f aca="false">20/60</f>
        <v>0.333333333333333</v>
      </c>
      <c r="E151" s="2" t="n">
        <f aca="false">38/60</f>
        <v>0.633333333333333</v>
      </c>
      <c r="G151" s="5" t="n">
        <f aca="false">SUM(C151:F151)</f>
        <v>1.66666666666667</v>
      </c>
      <c r="I151" s="3" t="s">
        <v>137</v>
      </c>
    </row>
    <row r="152" customFormat="false" ht="12.8" hidden="false" customHeight="false" outlineLevel="0" collapsed="false">
      <c r="A152" s="6" t="s">
        <v>96</v>
      </c>
      <c r="B152" s="1" t="n">
        <v>44742</v>
      </c>
      <c r="C152" s="2" t="n">
        <v>0.5</v>
      </c>
      <c r="G152" s="5" t="n">
        <f aca="false">SUM(C152:F152)</f>
        <v>0.5</v>
      </c>
      <c r="I152" s="3" t="s">
        <v>138</v>
      </c>
    </row>
    <row r="153" customFormat="false" ht="12.85" hidden="false" customHeight="false" outlineLevel="0" collapsed="false">
      <c r="A153" s="6" t="s">
        <v>96</v>
      </c>
      <c r="B153" s="1" t="n">
        <v>44756</v>
      </c>
      <c r="C153" s="2" t="n">
        <f aca="false">22/60</f>
        <v>0.366666666666667</v>
      </c>
      <c r="G153" s="5" t="n">
        <f aca="false">SUM(C153:F153)</f>
        <v>0.366666666666667</v>
      </c>
      <c r="I153" s="3" t="s">
        <v>139</v>
      </c>
    </row>
    <row r="154" customFormat="false" ht="12.8" hidden="false" customHeight="false" outlineLevel="0" collapsed="false">
      <c r="A154" s="6" t="s">
        <v>5</v>
      </c>
      <c r="B154" s="1" t="n">
        <v>44760</v>
      </c>
      <c r="C154" s="2" t="n">
        <v>0.51</v>
      </c>
      <c r="G154" s="5" t="n">
        <f aca="false">SUM(C154:F154)</f>
        <v>0.51</v>
      </c>
      <c r="I154" s="3" t="s">
        <v>140</v>
      </c>
    </row>
    <row r="155" customFormat="false" ht="12.8" hidden="false" customHeight="false" outlineLevel="0" collapsed="false">
      <c r="A155" s="6" t="s">
        <v>15</v>
      </c>
      <c r="B155" s="1" t="n">
        <v>44772</v>
      </c>
      <c r="C155" s="2" t="n">
        <f aca="false">8/60</f>
        <v>0.133333333333333</v>
      </c>
      <c r="G155" s="5" t="n">
        <f aca="false">SUM(C155:F155)</f>
        <v>0.133333333333333</v>
      </c>
      <c r="I155" s="3" t="s">
        <v>141</v>
      </c>
    </row>
    <row r="156" customFormat="false" ht="12.8" hidden="false" customHeight="false" outlineLevel="0" collapsed="false">
      <c r="A156" s="6" t="s">
        <v>4</v>
      </c>
      <c r="B156" s="1" t="n">
        <v>44780</v>
      </c>
      <c r="C156" s="2" t="n">
        <f aca="false">28/60</f>
        <v>0.466666666666667</v>
      </c>
      <c r="D156" s="2" t="n">
        <f aca="false">31/60</f>
        <v>0.516666666666667</v>
      </c>
      <c r="G156" s="5" t="n">
        <f aca="false">SUM(C156:F156)</f>
        <v>0.983333333333334</v>
      </c>
      <c r="I156" s="3" t="s">
        <v>142</v>
      </c>
    </row>
    <row r="157" customFormat="false" ht="12.8" hidden="false" customHeight="false" outlineLevel="0" collapsed="false">
      <c r="A157" s="6" t="s">
        <v>15</v>
      </c>
      <c r="B157" s="1" t="n">
        <v>44793</v>
      </c>
      <c r="C157" s="2" t="n">
        <f aca="false">34/60</f>
        <v>0.566666666666667</v>
      </c>
      <c r="G157" s="5" t="n">
        <f aca="false">SUM(C157:F157)</f>
        <v>0.566666666666667</v>
      </c>
      <c r="I157" s="3" t="s">
        <v>143</v>
      </c>
    </row>
    <row r="158" customFormat="false" ht="23.45" hidden="false" customHeight="false" outlineLevel="0" collapsed="false">
      <c r="A158" s="6" t="s">
        <v>144</v>
      </c>
      <c r="B158" s="1" t="n">
        <v>44794</v>
      </c>
      <c r="C158" s="2" t="n">
        <f aca="false">28/60</f>
        <v>0.466666666666667</v>
      </c>
      <c r="D158" s="2" t="n">
        <f aca="false">16/60</f>
        <v>0.266666666666667</v>
      </c>
      <c r="G158" s="5" t="n">
        <f aca="false">SUM(C158:F158)</f>
        <v>0.733333333333333</v>
      </c>
      <c r="I158" s="3" t="s">
        <v>145</v>
      </c>
    </row>
    <row r="159" customFormat="false" ht="12.8" hidden="false" customHeight="false" outlineLevel="0" collapsed="false">
      <c r="A159" s="6" t="s">
        <v>10</v>
      </c>
      <c r="B159" s="1" t="n">
        <v>44796</v>
      </c>
      <c r="C159" s="2" t="n">
        <f aca="false">25/60</f>
        <v>0.416666666666667</v>
      </c>
      <c r="G159" s="5" t="n">
        <f aca="false">SUM(C159:F159)</f>
        <v>0.416666666666667</v>
      </c>
      <c r="I159" s="3" t="s">
        <v>146</v>
      </c>
    </row>
    <row r="160" customFormat="false" ht="23.45" hidden="false" customHeight="false" outlineLevel="0" collapsed="false">
      <c r="A160" s="6" t="s">
        <v>15</v>
      </c>
      <c r="B160" s="1" t="n">
        <v>44800</v>
      </c>
      <c r="C160" s="2" t="n">
        <f aca="false">30/60</f>
        <v>0.5</v>
      </c>
      <c r="D160" s="2" t="n">
        <f aca="false">20/60</f>
        <v>0.333333333333333</v>
      </c>
      <c r="E160" s="2" t="n">
        <f aca="false">12/60</f>
        <v>0.2</v>
      </c>
      <c r="G160" s="5" t="n">
        <f aca="false">SUM(C160:F160)</f>
        <v>1.03333333333333</v>
      </c>
      <c r="I160" s="3" t="s">
        <v>147</v>
      </c>
    </row>
    <row r="161" customFormat="false" ht="23.45" hidden="false" customHeight="false" outlineLevel="0" collapsed="false">
      <c r="A161" s="6" t="s">
        <v>4</v>
      </c>
      <c r="B161" s="1" t="n">
        <v>44801</v>
      </c>
      <c r="C161" s="2" t="n">
        <f aca="false">12/60</f>
        <v>0.2</v>
      </c>
      <c r="D161" s="2" t="n">
        <f aca="false">9/60</f>
        <v>0.15</v>
      </c>
      <c r="G161" s="5" t="n">
        <f aca="false">SUM(C161:F161)</f>
        <v>0.35</v>
      </c>
      <c r="I161" s="3" t="s">
        <v>148</v>
      </c>
    </row>
    <row r="162" customFormat="false" ht="12.8" hidden="false" customHeight="false" outlineLevel="0" collapsed="false">
      <c r="A162" s="6" t="s">
        <v>6</v>
      </c>
      <c r="B162" s="1" t="n">
        <v>44804</v>
      </c>
      <c r="C162" s="2" t="n">
        <f aca="false">4/60</f>
        <v>0.0666666666666667</v>
      </c>
      <c r="G162" s="5" t="n">
        <f aca="false">SUM(C162:F162)</f>
        <v>0.0666666666666667</v>
      </c>
      <c r="I162" s="3" t="s">
        <v>149</v>
      </c>
    </row>
    <row r="163" customFormat="false" ht="23.8" hidden="false" customHeight="false" outlineLevel="0" collapsed="false">
      <c r="A163" s="6" t="s">
        <v>2</v>
      </c>
      <c r="B163" s="1" t="n">
        <v>44805</v>
      </c>
      <c r="C163" s="2" t="n">
        <f aca="false">32/60</f>
        <v>0.533333333333333</v>
      </c>
      <c r="D163" s="2" t="n">
        <f aca="false">15/60</f>
        <v>0.25</v>
      </c>
      <c r="G163" s="5" t="n">
        <f aca="false">SUM(C163:F163)</f>
        <v>0.783333333333333</v>
      </c>
      <c r="I163" s="3" t="s">
        <v>150</v>
      </c>
    </row>
    <row r="164" customFormat="false" ht="23.8" hidden="false" customHeight="false" outlineLevel="0" collapsed="false">
      <c r="A164" s="6" t="s">
        <v>10</v>
      </c>
      <c r="B164" s="1" t="n">
        <v>44831</v>
      </c>
      <c r="C164" s="2" t="n">
        <f aca="false">35/60</f>
        <v>0.583333333333333</v>
      </c>
      <c r="D164" s="2" t="n">
        <f aca="false">10/60</f>
        <v>0.166666666666667</v>
      </c>
      <c r="G164" s="5" t="n">
        <f aca="false">SUM(C164:F164)</f>
        <v>0.75</v>
      </c>
      <c r="I164" s="10" t="s">
        <v>151</v>
      </c>
    </row>
    <row r="165" customFormat="false" ht="34.5" hidden="false" customHeight="false" outlineLevel="0" collapsed="false">
      <c r="A165" s="6" t="s">
        <v>6</v>
      </c>
      <c r="B165" s="1" t="n">
        <v>44846</v>
      </c>
      <c r="C165" s="2" t="n">
        <v>0.5</v>
      </c>
      <c r="G165" s="5" t="n">
        <f aca="false">SUM(C165:F165)</f>
        <v>0.5</v>
      </c>
      <c r="I165" s="3" t="s">
        <v>152</v>
      </c>
    </row>
    <row r="166" customFormat="false" ht="12.8" hidden="false" customHeight="false" outlineLevel="0" collapsed="false">
      <c r="B166" s="1" t="n">
        <v>44847</v>
      </c>
      <c r="C166" s="2" t="n">
        <f aca="false">19/60</f>
        <v>0.316666666666667</v>
      </c>
      <c r="G166" s="5" t="n">
        <f aca="false">SUM(C166:F166)</f>
        <v>0.316666666666667</v>
      </c>
      <c r="I166" s="3" t="s">
        <v>153</v>
      </c>
    </row>
    <row r="167" customFormat="false" ht="23.45" hidden="false" customHeight="false" outlineLevel="0" collapsed="false">
      <c r="B167" s="1" t="n">
        <v>44848</v>
      </c>
      <c r="C167" s="2" t="n">
        <f aca="false">17/60</f>
        <v>0.283333333333333</v>
      </c>
      <c r="G167" s="5" t="n">
        <f aca="false">SUM(C167:F167)</f>
        <v>0.283333333333333</v>
      </c>
      <c r="I167" s="3" t="s">
        <v>154</v>
      </c>
    </row>
    <row r="168" customFormat="false" ht="23.45" hidden="false" customHeight="false" outlineLevel="0" collapsed="false">
      <c r="B168" s="1" t="n">
        <v>44853</v>
      </c>
      <c r="C168" s="2" t="n">
        <f aca="false">41/60</f>
        <v>0.683333333333333</v>
      </c>
      <c r="D168" s="2" t="n">
        <f aca="false">65/60</f>
        <v>1.08333333333333</v>
      </c>
      <c r="E168" s="2" t="n">
        <f aca="false">32/60</f>
        <v>0.533333333333333</v>
      </c>
      <c r="F168" s="2" t="n">
        <f aca="false">29/60</f>
        <v>0.483333333333333</v>
      </c>
      <c r="G168" s="5" t="n">
        <f aca="false">SUM(C168:F168)</f>
        <v>2.78333333333333</v>
      </c>
      <c r="I168" s="3" t="s">
        <v>155</v>
      </c>
    </row>
    <row r="169" customFormat="false" ht="12.8" hidden="false" customHeight="false" outlineLevel="0" collapsed="false">
      <c r="A169" s="6" t="s">
        <v>2</v>
      </c>
      <c r="B169" s="1" t="n">
        <v>44854</v>
      </c>
      <c r="C169" s="2" t="n">
        <f aca="false">21/60</f>
        <v>0.35</v>
      </c>
      <c r="G169" s="5" t="n">
        <f aca="false">SUM(C169:F169)</f>
        <v>0.35</v>
      </c>
      <c r="I169" s="3" t="s">
        <v>156</v>
      </c>
    </row>
    <row r="170" customFormat="false" ht="12.8" hidden="false" customHeight="false" outlineLevel="0" collapsed="false">
      <c r="A170" s="6" t="s">
        <v>3</v>
      </c>
      <c r="B170" s="1" t="n">
        <v>44855</v>
      </c>
      <c r="C170" s="2" t="n">
        <f aca="false">45/60</f>
        <v>0.75</v>
      </c>
      <c r="D170" s="2" t="n">
        <f aca="false">14/60</f>
        <v>0.233333333333333</v>
      </c>
      <c r="G170" s="5" t="n">
        <f aca="false">SUM(C170:F170)</f>
        <v>0.983333333333333</v>
      </c>
      <c r="I170" s="3" t="s">
        <v>157</v>
      </c>
    </row>
    <row r="171" customFormat="false" ht="12.8" hidden="false" customHeight="false" outlineLevel="0" collapsed="false">
      <c r="A171" s="6" t="s">
        <v>15</v>
      </c>
      <c r="B171" s="1" t="n">
        <v>44856</v>
      </c>
      <c r="C171" s="2" t="n">
        <f aca="false">7/60</f>
        <v>0.116666666666667</v>
      </c>
      <c r="G171" s="5" t="n">
        <f aca="false">SUM(C171:F171)</f>
        <v>0.116666666666667</v>
      </c>
      <c r="I171" s="3" t="s">
        <v>158</v>
      </c>
    </row>
    <row r="172" customFormat="false" ht="12.8" hidden="false" customHeight="false" outlineLevel="0" collapsed="false">
      <c r="A172" s="6" t="s">
        <v>5</v>
      </c>
      <c r="B172" s="1" t="n">
        <v>44858</v>
      </c>
      <c r="C172" s="2" t="n">
        <f aca="false">34/60</f>
        <v>0.566666666666667</v>
      </c>
      <c r="G172" s="5" t="n">
        <f aca="false">SUM(C172:F172)</f>
        <v>0.566666666666667</v>
      </c>
      <c r="I172" s="3" t="s">
        <v>159</v>
      </c>
    </row>
    <row r="173" customFormat="false" ht="12.8" hidden="false" customHeight="false" outlineLevel="0" collapsed="false">
      <c r="A173" s="6" t="s">
        <v>10</v>
      </c>
      <c r="B173" s="1" t="n">
        <v>44859</v>
      </c>
      <c r="C173" s="2" t="n">
        <f aca="false">46/60</f>
        <v>0.766666666666667</v>
      </c>
      <c r="G173" s="5" t="n">
        <f aca="false">SUM(C173:F173)</f>
        <v>0.766666666666667</v>
      </c>
      <c r="I173" s="3" t="s">
        <v>160</v>
      </c>
    </row>
    <row r="174" customFormat="false" ht="12.8" hidden="false" customHeight="false" outlineLevel="0" collapsed="false">
      <c r="A174" s="6" t="s">
        <v>6</v>
      </c>
      <c r="B174" s="1" t="n">
        <v>44860</v>
      </c>
      <c r="C174" s="2" t="n">
        <f aca="false">15/60</f>
        <v>0.25</v>
      </c>
      <c r="G174" s="5" t="n">
        <f aca="false">SUM(C174:F174)</f>
        <v>0.25</v>
      </c>
      <c r="I174" s="3" t="s">
        <v>161</v>
      </c>
    </row>
    <row r="175" customFormat="false" ht="12.8" hidden="false" customHeight="false" outlineLevel="0" collapsed="false">
      <c r="A175" s="6" t="s">
        <v>2</v>
      </c>
      <c r="B175" s="1" t="n">
        <v>44861</v>
      </c>
      <c r="C175" s="2" t="n">
        <f aca="false">22/60</f>
        <v>0.366666666666667</v>
      </c>
      <c r="D175" s="2" t="n">
        <f aca="false">11/60</f>
        <v>0.183333333333333</v>
      </c>
      <c r="G175" s="5" t="n">
        <f aca="false">SUM(C175:F175)</f>
        <v>0.55</v>
      </c>
      <c r="I175" s="3" t="s">
        <v>162</v>
      </c>
    </row>
    <row r="176" customFormat="false" ht="12.8" hidden="false" customHeight="false" outlineLevel="0" collapsed="false">
      <c r="A176" s="6" t="s">
        <v>5</v>
      </c>
      <c r="B176" s="1" t="n">
        <v>44865</v>
      </c>
      <c r="C176" s="2" t="n">
        <f aca="false">85/60</f>
        <v>1.41666666666667</v>
      </c>
      <c r="G176" s="5" t="n">
        <f aca="false">SUM(C176:F176)</f>
        <v>1.41666666666667</v>
      </c>
      <c r="I176" s="3" t="s">
        <v>163</v>
      </c>
    </row>
    <row r="177" customFormat="false" ht="12.8" hidden="false" customHeight="false" outlineLevel="0" collapsed="false">
      <c r="A177" s="6" t="s">
        <v>15</v>
      </c>
      <c r="B177" s="1" t="n">
        <v>44869</v>
      </c>
      <c r="C177" s="2" t="n">
        <f aca="false">48/60</f>
        <v>0.8</v>
      </c>
      <c r="G177" s="5" t="n">
        <f aca="false">SUM(C177:F177)</f>
        <v>0.8</v>
      </c>
      <c r="I177" s="3" t="s">
        <v>164</v>
      </c>
    </row>
    <row r="178" customFormat="false" ht="12.8" hidden="false" customHeight="false" outlineLevel="0" collapsed="false">
      <c r="A178" s="6" t="s">
        <v>15</v>
      </c>
      <c r="B178" s="1" t="n">
        <v>44883</v>
      </c>
      <c r="C178" s="2" t="n">
        <f aca="false">14/60</f>
        <v>0.233333333333333</v>
      </c>
      <c r="D178" s="2" t="n">
        <f aca="false">19/60</f>
        <v>0.316666666666667</v>
      </c>
      <c r="G178" s="5" t="n">
        <f aca="false">SUM(C178:F178)</f>
        <v>0.55</v>
      </c>
      <c r="I178" s="3" t="s">
        <v>165</v>
      </c>
    </row>
    <row r="179" customFormat="false" ht="12.8" hidden="false" customHeight="false" outlineLevel="0" collapsed="false">
      <c r="A179" s="6" t="s">
        <v>5</v>
      </c>
      <c r="B179" s="1" t="n">
        <v>44885</v>
      </c>
      <c r="C179" s="2" t="n">
        <f aca="false">20/60</f>
        <v>0.333333333333333</v>
      </c>
      <c r="G179" s="5" t="n">
        <f aca="false">SUM(C179:F179)</f>
        <v>0.333333333333333</v>
      </c>
      <c r="I179" s="3" t="s">
        <v>166</v>
      </c>
    </row>
    <row r="180" customFormat="false" ht="12.8" hidden="false" customHeight="false" outlineLevel="0" collapsed="false">
      <c r="A180" s="6" t="s">
        <v>10</v>
      </c>
      <c r="B180" s="1" t="n">
        <v>44886</v>
      </c>
      <c r="C180" s="2" t="n">
        <f aca="false">19/60</f>
        <v>0.316666666666667</v>
      </c>
      <c r="G180" s="5" t="n">
        <f aca="false">SUM(C180:F180)</f>
        <v>0.316666666666667</v>
      </c>
      <c r="I180" s="3" t="s">
        <v>167</v>
      </c>
    </row>
    <row r="181" customFormat="false" ht="12.8" hidden="false" customHeight="false" outlineLevel="0" collapsed="false">
      <c r="A181" s="6" t="s">
        <v>2</v>
      </c>
      <c r="B181" s="1" t="n">
        <v>44888</v>
      </c>
      <c r="C181" s="2" t="n">
        <f aca="false">20/60</f>
        <v>0.333333333333333</v>
      </c>
      <c r="G181" s="5" t="n">
        <f aca="false">SUM(C181:F181)</f>
        <v>0.333333333333333</v>
      </c>
      <c r="I181" s="3" t="s">
        <v>168</v>
      </c>
    </row>
    <row r="182" customFormat="false" ht="12.8" hidden="false" customHeight="false" outlineLevel="0" collapsed="false">
      <c r="A182" s="6" t="s">
        <v>5</v>
      </c>
      <c r="B182" s="1" t="n">
        <v>44928</v>
      </c>
      <c r="C182" s="2" t="n">
        <f aca="false">22/60</f>
        <v>0.366666666666667</v>
      </c>
      <c r="G182" s="5" t="n">
        <f aca="false">SUM(C182:F182)</f>
        <v>0.366666666666667</v>
      </c>
      <c r="I182" s="3" t="s">
        <v>169</v>
      </c>
    </row>
    <row r="183" customFormat="false" ht="34.5" hidden="false" customHeight="false" outlineLevel="0" collapsed="false">
      <c r="A183" s="6" t="s">
        <v>10</v>
      </c>
      <c r="B183" s="1" t="n">
        <v>44929</v>
      </c>
      <c r="C183" s="2" t="n">
        <f aca="false">12/60</f>
        <v>0.2</v>
      </c>
      <c r="D183" s="2" t="n">
        <f aca="false">8/60</f>
        <v>0.133333333333333</v>
      </c>
      <c r="E183" s="2" t="n">
        <f aca="false">25/60</f>
        <v>0.416666666666667</v>
      </c>
      <c r="F183" s="2" t="n">
        <f aca="false">24/60</f>
        <v>0.4</v>
      </c>
      <c r="G183" s="5" t="n">
        <f aca="false">SUM(C183:F183)</f>
        <v>1.15</v>
      </c>
      <c r="I183" s="3" t="s">
        <v>170</v>
      </c>
    </row>
    <row r="184" customFormat="false" ht="23.45" hidden="false" customHeight="false" outlineLevel="0" collapsed="false">
      <c r="A184" s="6" t="s">
        <v>171</v>
      </c>
      <c r="B184" s="1" t="n">
        <v>44931</v>
      </c>
      <c r="C184" s="2" t="n">
        <f aca="false">11/60</f>
        <v>0.183333333333333</v>
      </c>
      <c r="D184" s="2" t="n">
        <f aca="false">34/60</f>
        <v>0.566666666666667</v>
      </c>
      <c r="G184" s="5" t="n">
        <f aca="false">SUM(C184:F184)</f>
        <v>0.75</v>
      </c>
      <c r="I184" s="3" t="s">
        <v>172</v>
      </c>
    </row>
    <row r="185" customFormat="false" ht="12.8" hidden="false" customHeight="false" outlineLevel="0" collapsed="false">
      <c r="A185" s="6" t="s">
        <v>3</v>
      </c>
      <c r="B185" s="1" t="n">
        <v>44932</v>
      </c>
      <c r="C185" s="2" t="n">
        <f aca="false">11/60</f>
        <v>0.183333333333333</v>
      </c>
      <c r="D185" s="2" t="n">
        <f aca="false">15/60</f>
        <v>0.25</v>
      </c>
      <c r="G185" s="5" t="n">
        <f aca="false">SUM(C185:F185)</f>
        <v>0.433333333333333</v>
      </c>
      <c r="I185" s="10" t="s">
        <v>173</v>
      </c>
    </row>
    <row r="186" customFormat="false" ht="12.8" hidden="false" customHeight="false" outlineLevel="0" collapsed="false">
      <c r="A186" s="6" t="s">
        <v>10</v>
      </c>
      <c r="B186" s="1" t="n">
        <v>44936</v>
      </c>
      <c r="C186" s="2" t="n">
        <f aca="false">32/60</f>
        <v>0.533333333333333</v>
      </c>
      <c r="G186" s="5" t="n">
        <f aca="false">SUM(C186:F186)</f>
        <v>0.533333333333333</v>
      </c>
      <c r="I186" s="10" t="s">
        <v>174</v>
      </c>
    </row>
    <row r="187" customFormat="false" ht="12.8" hidden="false" customHeight="false" outlineLevel="0" collapsed="false">
      <c r="A187" s="6" t="s">
        <v>6</v>
      </c>
      <c r="B187" s="1" t="n">
        <v>44937</v>
      </c>
      <c r="C187" s="2" t="n">
        <f aca="false">71/60</f>
        <v>1.18333333333333</v>
      </c>
      <c r="G187" s="5" t="n">
        <f aca="false">SUM(C187:F187)</f>
        <v>1.18333333333333</v>
      </c>
      <c r="I187" s="10" t="s">
        <v>175</v>
      </c>
    </row>
    <row r="188" customFormat="false" ht="23.45" hidden="false" customHeight="false" outlineLevel="0" collapsed="false">
      <c r="A188" s="6" t="s">
        <v>10</v>
      </c>
      <c r="B188" s="1" t="n">
        <v>44943</v>
      </c>
      <c r="C188" s="2" t="n">
        <f aca="false">50/60</f>
        <v>0.833333333333333</v>
      </c>
      <c r="D188" s="2" t="n">
        <f aca="false">33/60</f>
        <v>0.55</v>
      </c>
      <c r="E188" s="2" t="n">
        <f aca="false">22/60</f>
        <v>0.366666666666667</v>
      </c>
      <c r="G188" s="5" t="n">
        <f aca="false">SUM(C188:F188)</f>
        <v>1.75</v>
      </c>
      <c r="I188" s="3" t="s">
        <v>176</v>
      </c>
    </row>
    <row r="189" customFormat="false" ht="12.8" hidden="false" customHeight="false" outlineLevel="0" collapsed="false">
      <c r="A189" s="6" t="s">
        <v>6</v>
      </c>
      <c r="B189" s="1" t="n">
        <v>44944</v>
      </c>
      <c r="C189" s="2" t="n">
        <f aca="false">35/60</f>
        <v>0.583333333333333</v>
      </c>
      <c r="D189" s="2" t="n">
        <f aca="false">11/60</f>
        <v>0.183333333333333</v>
      </c>
      <c r="G189" s="5" t="n">
        <f aca="false">SUM(C189:F189)</f>
        <v>0.766666666666667</v>
      </c>
      <c r="I189" s="3" t="s">
        <v>177</v>
      </c>
    </row>
    <row r="190" customFormat="false" ht="23.45" hidden="false" customHeight="false" outlineLevel="0" collapsed="false">
      <c r="A190" s="6" t="s">
        <v>3</v>
      </c>
      <c r="B190" s="1" t="n">
        <v>44981</v>
      </c>
      <c r="C190" s="2" t="n">
        <f aca="false">57/60</f>
        <v>0.95</v>
      </c>
      <c r="D190" s="2" t="n">
        <f aca="false">7/60</f>
        <v>0.116666666666667</v>
      </c>
      <c r="G190" s="5" t="n">
        <f aca="false">SUM(C190:F190)</f>
        <v>1.06666666666667</v>
      </c>
      <c r="I190" s="3" t="s">
        <v>178</v>
      </c>
    </row>
    <row r="191" customFormat="false" ht="12.8" hidden="false" customHeight="false" outlineLevel="0" collapsed="false">
      <c r="A191" s="6" t="s">
        <v>4</v>
      </c>
      <c r="B191" s="1" t="n">
        <v>44997</v>
      </c>
      <c r="C191" s="2" t="n">
        <f aca="false">31/60</f>
        <v>0.516666666666667</v>
      </c>
      <c r="D191" s="2" t="n">
        <f aca="false">13/60</f>
        <v>0.216666666666667</v>
      </c>
      <c r="E191" s="2" t="n">
        <f aca="false">59/60</f>
        <v>0.983333333333333</v>
      </c>
      <c r="G191" s="5" t="n">
        <f aca="false">SUM(C191:F191)</f>
        <v>1.71666666666667</v>
      </c>
      <c r="I191" s="3" t="s">
        <v>179</v>
      </c>
    </row>
    <row r="192" customFormat="false" ht="12.8" hidden="false" customHeight="false" outlineLevel="0" collapsed="false">
      <c r="A192" s="6" t="s">
        <v>5</v>
      </c>
      <c r="B192" s="1" t="n">
        <v>44998</v>
      </c>
      <c r="C192" s="2" t="n">
        <f aca="false">35/60</f>
        <v>0.583333333333333</v>
      </c>
      <c r="D192" s="2" t="n">
        <f aca="false">52/60</f>
        <v>0.866666666666667</v>
      </c>
      <c r="G192" s="5" t="n">
        <f aca="false">SUM(C192:F192)</f>
        <v>1.45</v>
      </c>
      <c r="I192" s="3" t="s">
        <v>180</v>
      </c>
    </row>
    <row r="193" customFormat="false" ht="12.8" hidden="false" customHeight="false" outlineLevel="0" collapsed="false">
      <c r="A193" s="6" t="s">
        <v>6</v>
      </c>
      <c r="B193" s="1" t="n">
        <v>45000</v>
      </c>
      <c r="C193" s="2" t="n">
        <f aca="false">38/60</f>
        <v>0.633333333333333</v>
      </c>
      <c r="G193" s="5" t="n">
        <f aca="false">SUM(C193:F193)</f>
        <v>0.633333333333333</v>
      </c>
      <c r="I193" s="3" t="s">
        <v>181</v>
      </c>
    </row>
    <row r="194" customFormat="false" ht="12.8" hidden="false" customHeight="false" outlineLevel="0" collapsed="false">
      <c r="A194" s="6" t="s">
        <v>4</v>
      </c>
      <c r="B194" s="1" t="n">
        <v>45004</v>
      </c>
      <c r="C194" s="2" t="n">
        <f aca="false">31/60</f>
        <v>0.516666666666667</v>
      </c>
      <c r="G194" s="5" t="n">
        <f aca="false">SUM(C194:F194)</f>
        <v>0.516666666666667</v>
      </c>
      <c r="I194" s="10" t="s">
        <v>182</v>
      </c>
    </row>
    <row r="195" customFormat="false" ht="12.8" hidden="false" customHeight="false" outlineLevel="0" collapsed="false">
      <c r="A195" s="6" t="s">
        <v>5</v>
      </c>
      <c r="B195" s="1" t="n">
        <v>45005</v>
      </c>
      <c r="C195" s="2" t="n">
        <f aca="false">42/60</f>
        <v>0.7</v>
      </c>
      <c r="D195" s="2" t="n">
        <f aca="false">35/60</f>
        <v>0.583333333333333</v>
      </c>
      <c r="G195" s="5" t="n">
        <f aca="false">SUM(C195:F195)</f>
        <v>1.28333333333333</v>
      </c>
      <c r="I195" s="10" t="s">
        <v>183</v>
      </c>
    </row>
    <row r="196" customFormat="false" ht="12.8" hidden="false" customHeight="false" outlineLevel="0" collapsed="false">
      <c r="A196" s="6" t="s">
        <v>6</v>
      </c>
      <c r="B196" s="1" t="n">
        <v>45007</v>
      </c>
      <c r="C196" s="2" t="n">
        <f aca="false">25/60</f>
        <v>0.416666666666667</v>
      </c>
      <c r="G196" s="5" t="n">
        <f aca="false">SUM(C196:F196)</f>
        <v>0.416666666666667</v>
      </c>
      <c r="I196" s="10" t="s">
        <v>184</v>
      </c>
    </row>
    <row r="197" customFormat="false" ht="12.8" hidden="false" customHeight="false" outlineLevel="0" collapsed="false">
      <c r="A197" s="6" t="s">
        <v>10</v>
      </c>
      <c r="B197" s="1" t="n">
        <v>45027</v>
      </c>
      <c r="C197" s="2" t="n">
        <f aca="false">15/60</f>
        <v>0.25</v>
      </c>
      <c r="D197" s="2" t="n">
        <f aca="false">18/60</f>
        <v>0.3</v>
      </c>
      <c r="E197" s="2" t="n">
        <f aca="false">11/60</f>
        <v>0.183333333333333</v>
      </c>
      <c r="G197" s="5" t="n">
        <f aca="false">SUM(C197:F197)</f>
        <v>0.733333333333333</v>
      </c>
      <c r="I197" s="10" t="s">
        <v>185</v>
      </c>
    </row>
    <row r="198" customFormat="false" ht="12.8" hidden="false" customHeight="false" outlineLevel="0" collapsed="false">
      <c r="A198" s="6" t="s">
        <v>6</v>
      </c>
      <c r="B198" s="1" t="n">
        <v>45028</v>
      </c>
      <c r="C198" s="2" t="n">
        <f aca="false">53/60</f>
        <v>0.883333333333333</v>
      </c>
      <c r="G198" s="5" t="n">
        <f aca="false">SUM(C198:F198)</f>
        <v>0.883333333333333</v>
      </c>
      <c r="I198" s="10" t="s">
        <v>186</v>
      </c>
    </row>
    <row r="199" customFormat="false" ht="12.8" hidden="false" customHeight="false" outlineLevel="0" collapsed="false">
      <c r="G199" s="9" t="n">
        <f aca="false">SUM(G139:G198)</f>
        <v>45.0433333333333</v>
      </c>
      <c r="I199" s="3" t="s">
        <v>187</v>
      </c>
    </row>
    <row r="201" customFormat="false" ht="12.8" hidden="false" customHeight="false" outlineLevel="0" collapsed="false">
      <c r="A201" s="6" t="s">
        <v>3</v>
      </c>
      <c r="B201" s="1" t="n">
        <v>45030</v>
      </c>
      <c r="C201" s="2" t="n">
        <f aca="false">46/60</f>
        <v>0.766666666666667</v>
      </c>
      <c r="G201" s="5" t="n">
        <f aca="false">SUM(C201:F201)</f>
        <v>0.766666666666667</v>
      </c>
      <c r="I201" s="10" t="s">
        <v>188</v>
      </c>
    </row>
    <row r="202" customFormat="false" ht="12.8" hidden="false" customHeight="false" outlineLevel="0" collapsed="false">
      <c r="A202" s="6" t="s">
        <v>15</v>
      </c>
      <c r="B202" s="1" t="n">
        <v>45031</v>
      </c>
      <c r="C202" s="2" t="n">
        <f aca="false">21/60</f>
        <v>0.35</v>
      </c>
      <c r="G202" s="5" t="n">
        <f aca="false">SUM(C202:F202)</f>
        <v>0.35</v>
      </c>
      <c r="I202" s="10" t="s">
        <v>188</v>
      </c>
    </row>
    <row r="203" customFormat="false" ht="12.8" hidden="false" customHeight="false" outlineLevel="0" collapsed="false">
      <c r="A203" s="6" t="s">
        <v>5</v>
      </c>
      <c r="B203" s="1" t="n">
        <v>45033</v>
      </c>
      <c r="C203" s="2" t="n">
        <f aca="false">12/60</f>
        <v>0.2</v>
      </c>
      <c r="G203" s="5" t="n">
        <f aca="false">SUM(C203:F203)</f>
        <v>0.2</v>
      </c>
      <c r="I203" s="10"/>
    </row>
    <row r="204" customFormat="false" ht="12.8" hidden="false" customHeight="false" outlineLevel="0" collapsed="false">
      <c r="A204" s="6" t="s">
        <v>6</v>
      </c>
      <c r="B204" s="1" t="n">
        <v>45035</v>
      </c>
      <c r="C204" s="2" t="n">
        <f aca="false">36/60</f>
        <v>0.6</v>
      </c>
      <c r="D204" s="2" t="n">
        <f aca="false">10/60</f>
        <v>0.166666666666667</v>
      </c>
      <c r="G204" s="5" t="n">
        <f aca="false">SUM(C204:F204)</f>
        <v>0.766666666666667</v>
      </c>
      <c r="I204" s="3" t="s">
        <v>189</v>
      </c>
    </row>
    <row r="205" customFormat="false" ht="23.8" hidden="false" customHeight="false" outlineLevel="0" collapsed="false">
      <c r="A205" s="6" t="s">
        <v>4</v>
      </c>
      <c r="B205" s="1" t="n">
        <v>45039</v>
      </c>
      <c r="C205" s="2" t="n">
        <f aca="false">48/60</f>
        <v>0.8</v>
      </c>
      <c r="G205" s="5" t="n">
        <f aca="false">SUM(C205:F205)</f>
        <v>0.8</v>
      </c>
      <c r="I205" s="3" t="s">
        <v>190</v>
      </c>
    </row>
    <row r="206" customFormat="false" ht="14.45" hidden="false" customHeight="false" outlineLevel="0" collapsed="false">
      <c r="A206" s="6" t="s">
        <v>5</v>
      </c>
      <c r="B206" s="1" t="n">
        <v>45040</v>
      </c>
      <c r="C206" s="2" t="n">
        <f aca="false">20/60</f>
        <v>0.333333333333333</v>
      </c>
      <c r="G206" s="5" t="n">
        <f aca="false">SUM(C206:F206)</f>
        <v>0.333333333333333</v>
      </c>
      <c r="I206" s="3" t="s">
        <v>191</v>
      </c>
    </row>
    <row r="207" customFormat="false" ht="12.8" hidden="false" customHeight="false" outlineLevel="0" collapsed="false">
      <c r="A207" s="6" t="s">
        <v>6</v>
      </c>
      <c r="B207" s="1" t="n">
        <v>45042</v>
      </c>
      <c r="C207" s="2" t="n">
        <f aca="false">24/60</f>
        <v>0.4</v>
      </c>
      <c r="G207" s="5" t="n">
        <f aca="false">SUM(C207:F207)</f>
        <v>0.4</v>
      </c>
      <c r="I207" s="3" t="s">
        <v>192</v>
      </c>
    </row>
    <row r="208" customFormat="false" ht="12.8" hidden="false" customHeight="false" outlineLevel="0" collapsed="false">
      <c r="A208" s="6" t="s">
        <v>3</v>
      </c>
      <c r="B208" s="1" t="n">
        <v>45044</v>
      </c>
      <c r="C208" s="2" t="n">
        <f aca="false">20/60</f>
        <v>0.333333333333333</v>
      </c>
      <c r="G208" s="5" t="n">
        <f aca="false">SUM(C208:F208)</f>
        <v>0.333333333333333</v>
      </c>
      <c r="I208" s="3" t="s">
        <v>193</v>
      </c>
    </row>
    <row r="209" customFormat="false" ht="23.45" hidden="false" customHeight="false" outlineLevel="0" collapsed="false">
      <c r="A209" s="6" t="s">
        <v>4</v>
      </c>
      <c r="B209" s="1" t="n">
        <v>45046</v>
      </c>
      <c r="C209" s="2" t="n">
        <f aca="false">10/60</f>
        <v>0.166666666666667</v>
      </c>
      <c r="D209" s="2" t="n">
        <f aca="false">12/60</f>
        <v>0.2</v>
      </c>
      <c r="E209" s="2" t="n">
        <f aca="false">31/60</f>
        <v>0.516666666666667</v>
      </c>
      <c r="G209" s="5" t="n">
        <f aca="false">SUM(C209:F209)</f>
        <v>0.883333333333333</v>
      </c>
      <c r="I209" s="3" t="s">
        <v>194</v>
      </c>
    </row>
    <row r="210" customFormat="false" ht="12.8" hidden="false" customHeight="false" outlineLevel="0" collapsed="false">
      <c r="A210" s="6" t="s">
        <v>5</v>
      </c>
      <c r="B210" s="1" t="n">
        <v>45047</v>
      </c>
      <c r="C210" s="2" t="n">
        <f aca="false">19/60</f>
        <v>0.316666666666667</v>
      </c>
      <c r="G210" s="5" t="n">
        <f aca="false">SUM(C210:F210)</f>
        <v>0.316666666666667</v>
      </c>
      <c r="I210" s="3" t="s">
        <v>195</v>
      </c>
    </row>
    <row r="211" customFormat="false" ht="12.8" hidden="false" customHeight="false" outlineLevel="0" collapsed="false">
      <c r="A211" s="6" t="s">
        <v>10</v>
      </c>
      <c r="B211" s="1" t="n">
        <v>45048</v>
      </c>
      <c r="C211" s="2" t="n">
        <f aca="false">32/60</f>
        <v>0.533333333333333</v>
      </c>
      <c r="G211" s="5" t="n">
        <f aca="false">SUM(C211:F211)</f>
        <v>0.533333333333333</v>
      </c>
      <c r="I211" s="3" t="s">
        <v>196</v>
      </c>
    </row>
    <row r="212" customFormat="false" ht="12.8" hidden="false" customHeight="false" outlineLevel="0" collapsed="false">
      <c r="A212" s="6" t="s">
        <v>5</v>
      </c>
      <c r="B212" s="1" t="n">
        <v>45061</v>
      </c>
      <c r="C212" s="2" t="n">
        <f aca="false">42/60</f>
        <v>0.7</v>
      </c>
      <c r="G212" s="5" t="n">
        <f aca="false">SUM(C212:F212)</f>
        <v>0.7</v>
      </c>
      <c r="I212" s="3" t="s">
        <v>197</v>
      </c>
    </row>
    <row r="213" customFormat="false" ht="12.8" hidden="false" customHeight="false" outlineLevel="0" collapsed="false">
      <c r="A213" s="6" t="s">
        <v>6</v>
      </c>
      <c r="B213" s="1" t="n">
        <v>45063</v>
      </c>
      <c r="C213" s="2" t="n">
        <f aca="false">20/60</f>
        <v>0.333333333333333</v>
      </c>
      <c r="G213" s="5" t="n">
        <f aca="false">SUM(C213:F213)</f>
        <v>0.333333333333333</v>
      </c>
      <c r="I213" s="3" t="s">
        <v>198</v>
      </c>
    </row>
    <row r="214" customFormat="false" ht="12.8" hidden="false" customHeight="false" outlineLevel="0" collapsed="false">
      <c r="A214" s="6" t="s">
        <v>2</v>
      </c>
      <c r="B214" s="1" t="n">
        <v>45071</v>
      </c>
      <c r="D214" s="2" t="n">
        <f aca="false">25/60</f>
        <v>0.416666666666667</v>
      </c>
      <c r="G214" s="5" t="n">
        <f aca="false">SUM(C214:F214)</f>
        <v>0.416666666666667</v>
      </c>
      <c r="I214" s="3" t="s">
        <v>199</v>
      </c>
    </row>
    <row r="215" customFormat="false" ht="12.8" hidden="false" customHeight="false" outlineLevel="0" collapsed="false">
      <c r="A215" s="6" t="s">
        <v>6</v>
      </c>
      <c r="B215" s="1" t="n">
        <v>45091</v>
      </c>
      <c r="C215" s="2" t="n">
        <f aca="false">10/60</f>
        <v>0.166666666666667</v>
      </c>
      <c r="D215" s="2" t="n">
        <f aca="false">9/60</f>
        <v>0.15</v>
      </c>
      <c r="G215" s="5" t="n">
        <f aca="false">SUM(C215:F215)</f>
        <v>0.316666666666667</v>
      </c>
      <c r="I215" s="3" t="s">
        <v>200</v>
      </c>
    </row>
    <row r="216" customFormat="false" ht="12.8" hidden="false" customHeight="false" outlineLevel="0" collapsed="false">
      <c r="A216" s="6" t="s">
        <v>96</v>
      </c>
      <c r="B216" s="1" t="n">
        <v>45092</v>
      </c>
      <c r="C216" s="2" t="n">
        <v>1.5</v>
      </c>
      <c r="G216" s="5" t="n">
        <f aca="false">SUM(C216:F216)</f>
        <v>1.5</v>
      </c>
      <c r="I216" s="3" t="s">
        <v>201</v>
      </c>
    </row>
    <row r="217" customFormat="false" ht="12.8" hidden="false" customHeight="false" outlineLevel="0" collapsed="false">
      <c r="A217" s="6" t="s">
        <v>10</v>
      </c>
      <c r="B217" s="1" t="n">
        <v>45104</v>
      </c>
      <c r="C217" s="2" t="n">
        <f aca="false">14/60</f>
        <v>0.233333333333333</v>
      </c>
      <c r="G217" s="5" t="n">
        <f aca="false">SUM(C217:F217)</f>
        <v>0.233333333333333</v>
      </c>
      <c r="I217" s="3" t="s">
        <v>202</v>
      </c>
    </row>
    <row r="218" customFormat="false" ht="12.85" hidden="false" customHeight="false" outlineLevel="0" collapsed="false">
      <c r="A218" s="1" t="s">
        <v>6</v>
      </c>
      <c r="B218" s="1" t="n">
        <v>45112</v>
      </c>
      <c r="C218" s="2" t="n">
        <f aca="false">21/60</f>
        <v>0.35</v>
      </c>
      <c r="D218" s="2" t="n">
        <f aca="false">16/60</f>
        <v>0.266666666666667</v>
      </c>
      <c r="G218" s="5" t="n">
        <f aca="false">SUM(C218:F218)</f>
        <v>0.616666666666667</v>
      </c>
      <c r="I218" s="10" t="s">
        <v>203</v>
      </c>
    </row>
    <row r="219" customFormat="false" ht="12.8" hidden="false" customHeight="false" outlineLevel="0" collapsed="false">
      <c r="A219" s="6" t="s">
        <v>15</v>
      </c>
      <c r="B219" s="1" t="n">
        <v>45115</v>
      </c>
      <c r="C219" s="2" t="n">
        <f aca="false">25/60</f>
        <v>0.416666666666667</v>
      </c>
      <c r="G219" s="5" t="n">
        <f aca="false">SUM(C219:F219)</f>
        <v>0.416666666666667</v>
      </c>
      <c r="I219" s="3" t="s">
        <v>204</v>
      </c>
    </row>
    <row r="220" customFormat="false" ht="12.8" hidden="false" customHeight="false" outlineLevel="0" collapsed="false">
      <c r="A220" s="6" t="s">
        <v>6</v>
      </c>
      <c r="B220" s="1" t="n">
        <v>45140</v>
      </c>
      <c r="C220" s="2" t="n">
        <f aca="false">6/60</f>
        <v>0.1</v>
      </c>
      <c r="G220" s="5" t="n">
        <f aca="false">SUM(C220:F220)</f>
        <v>0.1</v>
      </c>
      <c r="I220" s="10" t="s">
        <v>205</v>
      </c>
    </row>
    <row r="221" customFormat="false" ht="34.5" hidden="false" customHeight="false" outlineLevel="0" collapsed="false">
      <c r="A221" s="6" t="s">
        <v>10</v>
      </c>
      <c r="B221" s="1" t="n">
        <v>45146</v>
      </c>
      <c r="C221" s="2" t="n">
        <f aca="false">50/60</f>
        <v>0.833333333333333</v>
      </c>
      <c r="D221" s="2" t="n">
        <f aca="false">13/60</f>
        <v>0.216666666666667</v>
      </c>
      <c r="G221" s="5" t="n">
        <f aca="false">SUM(C221:F221)</f>
        <v>1.05</v>
      </c>
      <c r="I221" s="3" t="s">
        <v>206</v>
      </c>
    </row>
    <row r="222" customFormat="false" ht="23.45" hidden="false" customHeight="false" outlineLevel="0" collapsed="false">
      <c r="A222" s="6" t="s">
        <v>6</v>
      </c>
      <c r="B222" s="1" t="n">
        <v>45147</v>
      </c>
      <c r="C222" s="2" t="n">
        <f aca="false">14/60</f>
        <v>0.233333333333333</v>
      </c>
      <c r="D222" s="2" t="n">
        <f aca="false">10/60</f>
        <v>0.166666666666667</v>
      </c>
      <c r="E222" s="2" t="n">
        <f aca="false">7/60</f>
        <v>0.116666666666667</v>
      </c>
      <c r="G222" s="5" t="n">
        <f aca="false">SUM(C222:F222)</f>
        <v>0.516666666666667</v>
      </c>
      <c r="I222" s="3" t="s">
        <v>207</v>
      </c>
    </row>
    <row r="223" customFormat="false" ht="12.8" hidden="false" customHeight="false" outlineLevel="0" collapsed="false">
      <c r="A223" s="6" t="s">
        <v>6</v>
      </c>
      <c r="B223" s="1" t="n">
        <v>45147</v>
      </c>
      <c r="C223" s="2" t="n">
        <f aca="false">10/60</f>
        <v>0.166666666666667</v>
      </c>
      <c r="G223" s="5" t="n">
        <f aca="false">SUM(C223:F223)</f>
        <v>0.166666666666667</v>
      </c>
      <c r="I223" s="3" t="s">
        <v>208</v>
      </c>
    </row>
    <row r="224" customFormat="false" ht="45.5" hidden="false" customHeight="false" outlineLevel="0" collapsed="false">
      <c r="A224" s="6" t="s">
        <v>2</v>
      </c>
      <c r="B224" s="1" t="n">
        <v>45148</v>
      </c>
      <c r="C224" s="2" t="n">
        <f aca="false">6/60</f>
        <v>0.1</v>
      </c>
      <c r="D224" s="2" t="n">
        <f aca="false">9/60</f>
        <v>0.15</v>
      </c>
      <c r="E224" s="2" t="n">
        <f aca="false">11/60</f>
        <v>0.183333333333333</v>
      </c>
      <c r="G224" s="5" t="n">
        <f aca="false">SUM(C224:F224)</f>
        <v>0.433333333333333</v>
      </c>
      <c r="I224" s="3" t="s">
        <v>209</v>
      </c>
    </row>
    <row r="225" customFormat="false" ht="34.75" hidden="false" customHeight="false" outlineLevel="0" collapsed="false">
      <c r="A225" s="6" t="s">
        <v>15</v>
      </c>
      <c r="B225" s="1" t="n">
        <v>45150</v>
      </c>
      <c r="C225" s="2" t="n">
        <v>1.5</v>
      </c>
      <c r="D225" s="2" t="n">
        <f aca="false">23/60</f>
        <v>0.383333333333333</v>
      </c>
      <c r="G225" s="5" t="n">
        <f aca="false">SUM(C225:F225)</f>
        <v>1.88333333333333</v>
      </c>
      <c r="I225" s="3" t="s">
        <v>210</v>
      </c>
    </row>
    <row r="226" customFormat="false" ht="34.75" hidden="false" customHeight="false" outlineLevel="0" collapsed="false">
      <c r="B226" s="1" t="n">
        <v>45151</v>
      </c>
      <c r="C226" s="2" t="n">
        <f aca="false">12/60</f>
        <v>0.2</v>
      </c>
      <c r="D226" s="2" t="n">
        <f aca="false">13/60</f>
        <v>0.216666666666667</v>
      </c>
      <c r="E226" s="2" t="n">
        <f aca="false">8/60</f>
        <v>0.133333333333333</v>
      </c>
      <c r="G226" s="5" t="n">
        <f aca="false">SUM(C226:F226)</f>
        <v>0.55</v>
      </c>
      <c r="I226" s="3" t="s">
        <v>211</v>
      </c>
    </row>
    <row r="227" customFormat="false" ht="23.45" hidden="false" customHeight="false" outlineLevel="0" collapsed="false">
      <c r="B227" s="1" t="n">
        <v>45156</v>
      </c>
      <c r="C227" s="2" t="n">
        <f aca="false">14/60</f>
        <v>0.233333333333333</v>
      </c>
      <c r="D227" s="2" t="n">
        <f aca="false">17/60</f>
        <v>0.283333333333333</v>
      </c>
      <c r="G227" s="5" t="n">
        <f aca="false">SUM(C227:F227)</f>
        <v>0.516666666666667</v>
      </c>
      <c r="I227" s="3" t="s">
        <v>212</v>
      </c>
    </row>
    <row r="228" customFormat="false" ht="12.8" hidden="false" customHeight="false" outlineLevel="0" collapsed="false">
      <c r="B228" s="1" t="n">
        <v>45160</v>
      </c>
      <c r="C228" s="2" t="n">
        <f aca="false">11/60</f>
        <v>0.183333333333333</v>
      </c>
      <c r="D228" s="2" t="n">
        <f aca="false">15/60</f>
        <v>0.25</v>
      </c>
      <c r="G228" s="5" t="n">
        <f aca="false">SUM(C228:F228)</f>
        <v>0.433333333333333</v>
      </c>
      <c r="I228" s="3" t="s">
        <v>213</v>
      </c>
    </row>
    <row r="229" customFormat="false" ht="12.8" hidden="false" customHeight="false" outlineLevel="0" collapsed="false">
      <c r="B229" s="1" t="n">
        <v>45161</v>
      </c>
      <c r="C229" s="2" t="n">
        <f aca="false">81/60</f>
        <v>1.35</v>
      </c>
      <c r="G229" s="5" t="n">
        <f aca="false">SUM(C229:F229)</f>
        <v>1.35</v>
      </c>
      <c r="I229" s="3" t="s">
        <v>214</v>
      </c>
    </row>
    <row r="230" customFormat="false" ht="12.8" hidden="false" customHeight="false" outlineLevel="0" collapsed="false">
      <c r="B230" s="1" t="n">
        <v>45162</v>
      </c>
      <c r="C230" s="2" t="n">
        <f aca="false">48/60</f>
        <v>0.8</v>
      </c>
      <c r="G230" s="5" t="n">
        <f aca="false">SUM(C230:F230)</f>
        <v>0.8</v>
      </c>
      <c r="I230" s="3" t="s">
        <v>215</v>
      </c>
    </row>
    <row r="231" customFormat="false" ht="23.45" hidden="false" customHeight="false" outlineLevel="0" collapsed="false">
      <c r="B231" s="1" t="n">
        <v>45164</v>
      </c>
      <c r="C231" s="2" t="n">
        <f aca="false">35/60</f>
        <v>0.583333333333333</v>
      </c>
      <c r="D231" s="2" t="n">
        <f aca="false">38/60</f>
        <v>0.633333333333333</v>
      </c>
      <c r="G231" s="5" t="n">
        <f aca="false">SUM(C231:F231)</f>
        <v>1.21666666666667</v>
      </c>
      <c r="I231" s="3" t="s">
        <v>216</v>
      </c>
    </row>
    <row r="232" customFormat="false" ht="23.45" hidden="false" customHeight="false" outlineLevel="0" collapsed="false">
      <c r="B232" s="1" t="n">
        <v>45165</v>
      </c>
      <c r="C232" s="2" t="n">
        <f aca="false">38/60</f>
        <v>0.633333333333333</v>
      </c>
      <c r="D232" s="2" t="n">
        <f aca="false">13/60</f>
        <v>0.216666666666667</v>
      </c>
      <c r="E232" s="2" t="n">
        <f aca="false">17/60</f>
        <v>0.283333333333333</v>
      </c>
      <c r="G232" s="5" t="n">
        <f aca="false">SUM(C232:F232)</f>
        <v>1.13333333333333</v>
      </c>
      <c r="I232" s="3" t="s">
        <v>217</v>
      </c>
    </row>
    <row r="233" customFormat="false" ht="12.8" hidden="false" customHeight="false" outlineLevel="0" collapsed="false">
      <c r="B233" s="1" t="n">
        <v>45166</v>
      </c>
      <c r="C233" s="2" t="n">
        <f aca="false">39/60</f>
        <v>0.65</v>
      </c>
      <c r="D233" s="2" t="n">
        <f aca="false">11/60</f>
        <v>0.183333333333333</v>
      </c>
      <c r="G233" s="5" t="n">
        <f aca="false">SUM(C233:F233)</f>
        <v>0.833333333333333</v>
      </c>
      <c r="I233" s="3" t="s">
        <v>218</v>
      </c>
    </row>
    <row r="234" customFormat="false" ht="23.45" hidden="false" customHeight="false" outlineLevel="0" collapsed="false">
      <c r="B234" s="1" t="n">
        <v>45167</v>
      </c>
      <c r="C234" s="2" t="n">
        <f aca="false">22/60</f>
        <v>0.366666666666667</v>
      </c>
      <c r="G234" s="5" t="n">
        <f aca="false">SUM(C234:F234)</f>
        <v>0.366666666666667</v>
      </c>
      <c r="I234" s="3" t="s">
        <v>219</v>
      </c>
    </row>
    <row r="235" customFormat="false" ht="12.8" hidden="false" customHeight="false" outlineLevel="0" collapsed="false">
      <c r="B235" s="1" t="n">
        <v>45168</v>
      </c>
      <c r="C235" s="2" t="n">
        <f aca="false">12/60</f>
        <v>0.2</v>
      </c>
      <c r="D235" s="2" t="n">
        <f aca="false">6/60</f>
        <v>0.1</v>
      </c>
      <c r="G235" s="5" t="n">
        <f aca="false">SUM(C235:F235)</f>
        <v>0.3</v>
      </c>
      <c r="I235" s="3" t="s">
        <v>220</v>
      </c>
    </row>
    <row r="236" customFormat="false" ht="34.75" hidden="false" customHeight="false" outlineLevel="0" collapsed="false">
      <c r="B236" s="1" t="n">
        <v>45170</v>
      </c>
      <c r="C236" s="2" t="n">
        <f aca="false">16/60</f>
        <v>0.266666666666667</v>
      </c>
      <c r="D236" s="2" t="n">
        <f aca="false">11/60</f>
        <v>0.183333333333333</v>
      </c>
      <c r="G236" s="5" t="n">
        <f aca="false">SUM(C236:F236)</f>
        <v>0.45</v>
      </c>
      <c r="I236" s="10" t="s">
        <v>221</v>
      </c>
    </row>
    <row r="237" customFormat="false" ht="12.8" hidden="false" customHeight="false" outlineLevel="0" collapsed="false">
      <c r="B237" s="1" t="n">
        <v>45182</v>
      </c>
      <c r="C237" s="2" t="n">
        <f aca="false">10/60</f>
        <v>0.166666666666667</v>
      </c>
      <c r="D237" s="2" t="n">
        <f aca="false">35/60</f>
        <v>0.583333333333333</v>
      </c>
      <c r="G237" s="5" t="n">
        <f aca="false">SUM(C237:F237)</f>
        <v>0.75</v>
      </c>
      <c r="I237" s="3" t="s">
        <v>222</v>
      </c>
    </row>
    <row r="238" customFormat="false" ht="12.8" hidden="false" customHeight="false" outlineLevel="0" collapsed="false">
      <c r="B238" s="1" t="n">
        <v>45183</v>
      </c>
      <c r="C238" s="2" t="n">
        <f aca="false">26/60</f>
        <v>0.433333333333333</v>
      </c>
      <c r="G238" s="5" t="n">
        <f aca="false">SUM(C238:F238)</f>
        <v>0.433333333333333</v>
      </c>
      <c r="I238" s="10" t="s">
        <v>223</v>
      </c>
    </row>
    <row r="239" customFormat="false" ht="12.8" hidden="false" customHeight="false" outlineLevel="0" collapsed="false">
      <c r="B239" s="1" t="n">
        <v>45184</v>
      </c>
      <c r="C239" s="2" t="n">
        <f aca="false">29/60</f>
        <v>0.483333333333333</v>
      </c>
      <c r="D239" s="2" t="n">
        <f aca="false">10/60</f>
        <v>0.166666666666667</v>
      </c>
      <c r="G239" s="5" t="n">
        <f aca="false">SUM(C239:F239)</f>
        <v>0.65</v>
      </c>
      <c r="I239" s="3" t="s">
        <v>224</v>
      </c>
    </row>
    <row r="240" customFormat="false" ht="34.5" hidden="false" customHeight="false" outlineLevel="0" collapsed="false">
      <c r="B240" s="1" t="n">
        <v>45196</v>
      </c>
      <c r="C240" s="2" t="n">
        <f aca="false">68/60</f>
        <v>1.13333333333333</v>
      </c>
      <c r="D240" s="2" t="n">
        <f aca="false">10/60</f>
        <v>0.166666666666667</v>
      </c>
      <c r="G240" s="5" t="n">
        <f aca="false">SUM(C240:F240)</f>
        <v>1.3</v>
      </c>
      <c r="I240" s="3" t="s">
        <v>225</v>
      </c>
      <c r="J240" s="6" t="s">
        <v>226</v>
      </c>
      <c r="K240" s="6" t="s">
        <v>226</v>
      </c>
    </row>
    <row r="241" customFormat="false" ht="23.45" hidden="false" customHeight="false" outlineLevel="0" collapsed="false">
      <c r="B241" s="1" t="n">
        <v>45197</v>
      </c>
      <c r="C241" s="2" t="n">
        <f aca="false">48/60</f>
        <v>0.8</v>
      </c>
      <c r="G241" s="5" t="n">
        <f aca="false">SUM(C241:F241)</f>
        <v>0.8</v>
      </c>
      <c r="I241" s="12" t="s">
        <v>227</v>
      </c>
      <c r="J241" s="6" t="s">
        <v>228</v>
      </c>
      <c r="K241" s="6" t="s">
        <v>228</v>
      </c>
    </row>
    <row r="242" customFormat="false" ht="34.75" hidden="false" customHeight="false" outlineLevel="0" collapsed="false">
      <c r="B242" s="1" t="n">
        <v>45199</v>
      </c>
      <c r="C242" s="2" t="n">
        <f aca="false">35/60</f>
        <v>0.583333333333333</v>
      </c>
      <c r="G242" s="5" t="n">
        <f aca="false">SUM(C242:F242)</f>
        <v>0.583333333333333</v>
      </c>
      <c r="I242" s="12" t="s">
        <v>229</v>
      </c>
      <c r="J242" s="6" t="s">
        <v>230</v>
      </c>
      <c r="K242" s="6" t="s">
        <v>230</v>
      </c>
    </row>
    <row r="243" customFormat="false" ht="34.75" hidden="false" customHeight="false" outlineLevel="0" collapsed="false">
      <c r="B243" s="1" t="n">
        <v>45201</v>
      </c>
      <c r="C243" s="2" t="n">
        <f aca="false">26/60</f>
        <v>0.433333333333333</v>
      </c>
      <c r="G243" s="5" t="n">
        <f aca="false">SUM(C243:F243)</f>
        <v>0.433333333333333</v>
      </c>
      <c r="I243" s="12" t="s">
        <v>231</v>
      </c>
      <c r="J243" s="6" t="s">
        <v>232</v>
      </c>
      <c r="K243" s="6" t="s">
        <v>233</v>
      </c>
    </row>
    <row r="244" customFormat="false" ht="34.75" hidden="false" customHeight="false" outlineLevel="0" collapsed="false">
      <c r="B244" s="1" t="n">
        <v>45204</v>
      </c>
      <c r="C244" s="2" t="n">
        <f aca="false">16/60</f>
        <v>0.266666666666667</v>
      </c>
      <c r="G244" s="5" t="n">
        <f aca="false">SUM(C244:F244)</f>
        <v>0.266666666666667</v>
      </c>
      <c r="I244" s="12" t="s">
        <v>234</v>
      </c>
      <c r="K244" s="6" t="s">
        <v>235</v>
      </c>
    </row>
    <row r="245" customFormat="false" ht="34.75" hidden="false" customHeight="false" outlineLevel="0" collapsed="false">
      <c r="B245" s="1" t="n">
        <v>45208</v>
      </c>
      <c r="C245" s="2" t="n">
        <f aca="false">10/60</f>
        <v>0.166666666666667</v>
      </c>
      <c r="D245" s="2" t="n">
        <f aca="false">35/60</f>
        <v>0.583333333333333</v>
      </c>
      <c r="E245" s="2" t="n">
        <f aca="false">21/60</f>
        <v>0.35</v>
      </c>
      <c r="G245" s="5" t="n">
        <f aca="false">SUM(C245:F245)</f>
        <v>1.1</v>
      </c>
      <c r="I245" s="12" t="s">
        <v>236</v>
      </c>
    </row>
    <row r="246" customFormat="false" ht="23.45" hidden="false" customHeight="false" outlineLevel="0" collapsed="false">
      <c r="B246" s="1" t="n">
        <v>45209</v>
      </c>
      <c r="C246" s="2" t="n">
        <f aca="false">21/60</f>
        <v>0.35</v>
      </c>
      <c r="G246" s="5" t="n">
        <f aca="false">SUM(C246:F246)</f>
        <v>0.35</v>
      </c>
      <c r="I246" s="12" t="s">
        <v>237</v>
      </c>
    </row>
    <row r="247" customFormat="false" ht="12.8" hidden="false" customHeight="false" outlineLevel="0" collapsed="false">
      <c r="B247" s="1" t="n">
        <v>45210</v>
      </c>
      <c r="C247" s="2" t="n">
        <f aca="false">8/60</f>
        <v>0.133333333333333</v>
      </c>
      <c r="G247" s="5" t="n">
        <f aca="false">SUM(C247:F247)</f>
        <v>0.133333333333333</v>
      </c>
      <c r="I247" s="12" t="s">
        <v>238</v>
      </c>
    </row>
    <row r="248" customFormat="false" ht="23.45" hidden="false" customHeight="false" outlineLevel="0" collapsed="false">
      <c r="B248" s="1" t="n">
        <v>45216</v>
      </c>
      <c r="C248" s="2" t="n">
        <f aca="false">37/60</f>
        <v>0.616666666666667</v>
      </c>
      <c r="G248" s="5" t="n">
        <f aca="false">SUM(C248:F248)</f>
        <v>0.616666666666667</v>
      </c>
      <c r="I248" s="12" t="s">
        <v>239</v>
      </c>
    </row>
    <row r="249" customFormat="false" ht="12.8" hidden="false" customHeight="false" outlineLevel="0" collapsed="false">
      <c r="B249" s="1" t="n">
        <v>45224</v>
      </c>
      <c r="C249" s="2" t="n">
        <f aca="false">10/60</f>
        <v>0.166666666666667</v>
      </c>
      <c r="G249" s="5" t="n">
        <f aca="false">SUM(C249:F249)</f>
        <v>0.166666666666667</v>
      </c>
      <c r="I249" s="3" t="s">
        <v>240</v>
      </c>
    </row>
    <row r="250" customFormat="false" ht="12.8" hidden="false" customHeight="false" outlineLevel="0" collapsed="false">
      <c r="B250" s="1" t="n">
        <v>45238</v>
      </c>
      <c r="C250" s="2" t="n">
        <f aca="false">29/60</f>
        <v>0.483333333333333</v>
      </c>
      <c r="G250" s="5" t="n">
        <f aca="false">SUM(C250:F250)</f>
        <v>0.483333333333333</v>
      </c>
      <c r="I250" s="3" t="s">
        <v>241</v>
      </c>
    </row>
    <row r="251" customFormat="false" ht="12.8" hidden="false" customHeight="false" outlineLevel="0" collapsed="false">
      <c r="B251" s="1" t="n">
        <v>45245</v>
      </c>
      <c r="C251" s="2" t="n">
        <f aca="false">57/60</f>
        <v>0.95</v>
      </c>
      <c r="G251" s="5" t="n">
        <f aca="false">SUM(C251:F251)</f>
        <v>0.95</v>
      </c>
      <c r="I251" s="3" t="s">
        <v>242</v>
      </c>
    </row>
    <row r="252" customFormat="false" ht="12.8" hidden="false" customHeight="false" outlineLevel="0" collapsed="false">
      <c r="B252" s="1" t="n">
        <v>45246</v>
      </c>
      <c r="C252" s="2" t="n">
        <f aca="false">13/60</f>
        <v>0.216666666666667</v>
      </c>
      <c r="D252" s="2" t="n">
        <f aca="false">20/60</f>
        <v>0.333333333333333</v>
      </c>
      <c r="E252" s="2" t="n">
        <f aca="false">59/60</f>
        <v>0.983333333333333</v>
      </c>
      <c r="G252" s="5" t="n">
        <f aca="false">SUM(C252:F252)</f>
        <v>1.53333333333333</v>
      </c>
      <c r="I252" s="3" t="s">
        <v>243</v>
      </c>
    </row>
    <row r="253" customFormat="false" ht="23.45" hidden="false" customHeight="false" outlineLevel="0" collapsed="false">
      <c r="B253" s="1" t="n">
        <v>45246</v>
      </c>
      <c r="C253" s="2" t="n">
        <f aca="false">32/60</f>
        <v>0.533333333333333</v>
      </c>
      <c r="D253" s="2" t="n">
        <f aca="false">10/60</f>
        <v>0.166666666666667</v>
      </c>
      <c r="G253" s="5" t="n">
        <f aca="false">SUM(C253:F253)</f>
        <v>0.7</v>
      </c>
      <c r="I253" s="3" t="s">
        <v>244</v>
      </c>
    </row>
    <row r="254" customFormat="false" ht="12.8" hidden="false" customHeight="false" outlineLevel="0" collapsed="false">
      <c r="B254" s="1" t="n">
        <v>45247</v>
      </c>
      <c r="C254" s="2" t="n">
        <f aca="false">11/60</f>
        <v>0.183333333333333</v>
      </c>
      <c r="G254" s="5" t="n">
        <f aca="false">SUM(C254:F254)</f>
        <v>0.183333333333333</v>
      </c>
      <c r="I254" s="3" t="s">
        <v>245</v>
      </c>
    </row>
    <row r="255" customFormat="false" ht="23.8" hidden="false" customHeight="false" outlineLevel="0" collapsed="false">
      <c r="B255" s="1" t="n">
        <v>45250</v>
      </c>
      <c r="C255" s="2" t="n">
        <f aca="false">10/60</f>
        <v>0.166666666666667</v>
      </c>
      <c r="D255" s="2" t="n">
        <f aca="false">12/60</f>
        <v>0.2</v>
      </c>
      <c r="G255" s="5" t="n">
        <f aca="false">SUM(C255:F255)</f>
        <v>0.366666666666667</v>
      </c>
      <c r="I255" s="3" t="s">
        <v>246</v>
      </c>
    </row>
    <row r="256" customFormat="false" ht="23.8" hidden="false" customHeight="false" outlineLevel="0" collapsed="false">
      <c r="B256" s="1" t="n">
        <v>45259</v>
      </c>
      <c r="C256" s="2" t="n">
        <f aca="false">9/60</f>
        <v>0.15</v>
      </c>
      <c r="D256" s="2" t="n">
        <f aca="false">41/60</f>
        <v>0.683333333333333</v>
      </c>
      <c r="G256" s="5" t="n">
        <f aca="false">SUM(C256:F256)</f>
        <v>0.833333333333333</v>
      </c>
      <c r="I256" s="3" t="s">
        <v>247</v>
      </c>
    </row>
    <row r="257" customFormat="false" ht="23.8" hidden="false" customHeight="false" outlineLevel="0" collapsed="false">
      <c r="B257" s="1" t="n">
        <v>45263</v>
      </c>
      <c r="C257" s="2" t="n">
        <f aca="false">20/60</f>
        <v>0.333333333333333</v>
      </c>
      <c r="D257" s="2" t="n">
        <f aca="false">17/60</f>
        <v>0.283333333333333</v>
      </c>
      <c r="G257" s="5" t="n">
        <f aca="false">SUM(C257:F257)</f>
        <v>0.616666666666667</v>
      </c>
      <c r="I257" s="3" t="s">
        <v>248</v>
      </c>
    </row>
    <row r="258" customFormat="false" ht="12.8" hidden="false" customHeight="false" outlineLevel="0" collapsed="false">
      <c r="B258" s="1" t="n">
        <v>45263</v>
      </c>
      <c r="C258" s="2" t="n">
        <f aca="false">14/60</f>
        <v>0.233333333333333</v>
      </c>
      <c r="G258" s="5" t="n">
        <f aca="false">SUM(C258:F258)</f>
        <v>0.233333333333333</v>
      </c>
      <c r="I258" s="3" t="s">
        <v>249</v>
      </c>
    </row>
    <row r="259" customFormat="false" ht="34.75" hidden="false" customHeight="false" outlineLevel="0" collapsed="false">
      <c r="B259" s="1" t="n">
        <v>45264</v>
      </c>
      <c r="C259" s="2" t="n">
        <f aca="false">46/60</f>
        <v>0.766666666666667</v>
      </c>
      <c r="D259" s="2" t="n">
        <f aca="false">15/60</f>
        <v>0.25</v>
      </c>
      <c r="E259" s="2" t="n">
        <f aca="false">8/60</f>
        <v>0.133333333333333</v>
      </c>
      <c r="G259" s="5" t="n">
        <f aca="false">SUM(C259:F259)</f>
        <v>1.15</v>
      </c>
      <c r="I259" s="3" t="s">
        <v>250</v>
      </c>
    </row>
    <row r="260" customFormat="false" ht="34.75" hidden="false" customHeight="false" outlineLevel="0" collapsed="false">
      <c r="B260" s="1" t="n">
        <v>45267</v>
      </c>
      <c r="C260" s="2" t="n">
        <f aca="false">19/60</f>
        <v>0.316666666666667</v>
      </c>
      <c r="D260" s="2" t="n">
        <f aca="false">21/60</f>
        <v>0.35</v>
      </c>
      <c r="E260" s="2" t="n">
        <f aca="false">25/60</f>
        <v>0.416666666666667</v>
      </c>
      <c r="G260" s="5" t="n">
        <f aca="false">SUM(C260:F260)</f>
        <v>1.08333333333333</v>
      </c>
      <c r="I260" s="13" t="s">
        <v>251</v>
      </c>
    </row>
    <row r="261" customFormat="false" ht="34.75" hidden="false" customHeight="false" outlineLevel="0" collapsed="false">
      <c r="B261" s="1" t="n">
        <v>45267</v>
      </c>
      <c r="C261" s="2" t="n">
        <f aca="false">21/60</f>
        <v>0.35</v>
      </c>
      <c r="D261" s="2" t="n">
        <f aca="false">18/60</f>
        <v>0.3</v>
      </c>
      <c r="E261" s="2" t="n">
        <f aca="false">10/60</f>
        <v>0.166666666666667</v>
      </c>
      <c r="F261" s="2" t="n">
        <f aca="false">46/60</f>
        <v>0.766666666666667</v>
      </c>
      <c r="G261" s="5" t="n">
        <f aca="false">SUM(C261:F261)</f>
        <v>1.58333333333333</v>
      </c>
      <c r="I261" s="3" t="s">
        <v>252</v>
      </c>
    </row>
    <row r="262" customFormat="false" ht="23.45" hidden="false" customHeight="false" outlineLevel="0" collapsed="false">
      <c r="B262" s="1" t="n">
        <v>45268</v>
      </c>
      <c r="C262" s="2" t="n">
        <f aca="false">20/60</f>
        <v>0.333333333333333</v>
      </c>
      <c r="D262" s="2" t="n">
        <f aca="false">10/60</f>
        <v>0.166666666666667</v>
      </c>
      <c r="G262" s="5" t="n">
        <f aca="false">SUM(C262:F262)</f>
        <v>0.5</v>
      </c>
      <c r="I262" s="3" t="s">
        <v>253</v>
      </c>
    </row>
    <row r="263" customFormat="false" ht="12.8" hidden="false" customHeight="false" outlineLevel="0" collapsed="false">
      <c r="B263" s="1" t="n">
        <v>45277</v>
      </c>
      <c r="C263" s="2" t="n">
        <f aca="false">30/60</f>
        <v>0.5</v>
      </c>
      <c r="G263" s="5" t="n">
        <f aca="false">SUM(C263:F263)</f>
        <v>0.5</v>
      </c>
      <c r="I263" s="3" t="s">
        <v>254</v>
      </c>
    </row>
    <row r="264" customFormat="false" ht="12.8" hidden="false" customHeight="false" outlineLevel="0" collapsed="false">
      <c r="B264" s="1" t="n">
        <v>45657</v>
      </c>
      <c r="C264" s="2" t="n">
        <f aca="false">32/60</f>
        <v>0.533333333333333</v>
      </c>
      <c r="G264" s="5" t="n">
        <f aca="false">SUM(C264:F264)</f>
        <v>0.533333333333333</v>
      </c>
      <c r="I264" s="3" t="s">
        <v>255</v>
      </c>
    </row>
    <row r="265" customFormat="false" ht="12.8" hidden="false" customHeight="false" outlineLevel="0" collapsed="false">
      <c r="B265" s="1" t="n">
        <v>45293</v>
      </c>
      <c r="C265" s="2" t="n">
        <f aca="false">37/60</f>
        <v>0.616666666666667</v>
      </c>
      <c r="G265" s="5" t="n">
        <f aca="false">SUM(C265:F265)</f>
        <v>0.616666666666667</v>
      </c>
      <c r="I265" s="12" t="s">
        <v>256</v>
      </c>
    </row>
    <row r="266" customFormat="false" ht="12.8" hidden="false" customHeight="false" outlineLevel="0" collapsed="false">
      <c r="B266" s="1" t="n">
        <v>45298</v>
      </c>
      <c r="C266" s="2" t="n">
        <f aca="false">6/60</f>
        <v>0.1</v>
      </c>
      <c r="D266" s="2" t="n">
        <f aca="false">22/60</f>
        <v>0.366666666666667</v>
      </c>
      <c r="G266" s="5" t="n">
        <f aca="false">SUM(C266:F266)</f>
        <v>0.466666666666667</v>
      </c>
      <c r="I266" s="3" t="s">
        <v>257</v>
      </c>
    </row>
    <row r="267" customFormat="false" ht="23.45" hidden="false" customHeight="false" outlineLevel="0" collapsed="false">
      <c r="B267" s="1" t="n">
        <v>45298</v>
      </c>
      <c r="C267" s="2" t="n">
        <f aca="false">29/60</f>
        <v>0.483333333333333</v>
      </c>
      <c r="D267" s="2" t="n">
        <f aca="false">9/60</f>
        <v>0.15</v>
      </c>
      <c r="G267" s="5" t="n">
        <f aca="false">SUM(C267:F267)</f>
        <v>0.633333333333333</v>
      </c>
      <c r="I267" s="3" t="s">
        <v>258</v>
      </c>
    </row>
    <row r="268" customFormat="false" ht="12.8" hidden="false" customHeight="false" outlineLevel="0" collapsed="false">
      <c r="B268" s="1" t="n">
        <v>45325</v>
      </c>
      <c r="C268" s="2" t="n">
        <f aca="false">12/60</f>
        <v>0.2</v>
      </c>
      <c r="G268" s="5" t="n">
        <f aca="false">SUM(C268:F268)</f>
        <v>0.2</v>
      </c>
      <c r="I268" s="12" t="s">
        <v>259</v>
      </c>
    </row>
    <row r="269" customFormat="false" ht="12.8" hidden="false" customHeight="false" outlineLevel="0" collapsed="false">
      <c r="B269" s="1" t="n">
        <v>45331</v>
      </c>
      <c r="C269" s="2" t="n">
        <f aca="false">14/60</f>
        <v>0.233333333333333</v>
      </c>
      <c r="G269" s="5" t="n">
        <f aca="false">SUM(C269:F269)</f>
        <v>0.233333333333333</v>
      </c>
      <c r="I269" s="3" t="s">
        <v>260</v>
      </c>
    </row>
    <row r="270" customFormat="false" ht="34.5" hidden="false" customHeight="false" outlineLevel="0" collapsed="false">
      <c r="B270" s="1" t="n">
        <v>45332</v>
      </c>
      <c r="C270" s="2" t="n">
        <f aca="false">9/60</f>
        <v>0.15</v>
      </c>
      <c r="D270" s="2" t="n">
        <f aca="false">11/60</f>
        <v>0.183333333333333</v>
      </c>
      <c r="E270" s="2" t="n">
        <f aca="false">17/60</f>
        <v>0.283333333333333</v>
      </c>
      <c r="G270" s="5" t="n">
        <f aca="false">SUM(C270:F270)</f>
        <v>0.616666666666667</v>
      </c>
      <c r="I270" s="10" t="s">
        <v>261</v>
      </c>
    </row>
    <row r="271" customFormat="false" ht="12.8" hidden="false" customHeight="false" outlineLevel="0" collapsed="false">
      <c r="B271" s="1" t="n">
        <v>45333</v>
      </c>
      <c r="C271" s="2" t="n">
        <f aca="false">45/60</f>
        <v>0.75</v>
      </c>
      <c r="G271" s="5" t="n">
        <f aca="false">SUM(C271:F271)</f>
        <v>0.75</v>
      </c>
      <c r="I271" s="3" t="s">
        <v>262</v>
      </c>
    </row>
    <row r="272" customFormat="false" ht="12.8" hidden="false" customHeight="false" outlineLevel="0" collapsed="false">
      <c r="B272" s="1" t="n">
        <v>45337</v>
      </c>
      <c r="C272" s="2" t="n">
        <f aca="false">17/60</f>
        <v>0.283333333333333</v>
      </c>
      <c r="E272" s="2" t="n">
        <f aca="false">18/60</f>
        <v>0.3</v>
      </c>
      <c r="G272" s="5" t="n">
        <f aca="false">SUM(C272:F272)</f>
        <v>0.583333333333333</v>
      </c>
      <c r="I272" s="12" t="s">
        <v>263</v>
      </c>
    </row>
    <row r="274" customFormat="false" ht="12.8" hidden="false" customHeight="false" outlineLevel="0" collapsed="false">
      <c r="G274" s="14" t="n">
        <f aca="false">SUM(G201:G273)</f>
        <v>45.25</v>
      </c>
      <c r="I274" s="3" t="s">
        <v>264</v>
      </c>
    </row>
    <row r="276" customFormat="false" ht="23.45" hidden="false" customHeight="false" outlineLevel="0" collapsed="false">
      <c r="B276" s="1" t="n">
        <v>45338</v>
      </c>
      <c r="C276" s="2" t="n">
        <f aca="false">29/60</f>
        <v>0.483333333333333</v>
      </c>
      <c r="D276" s="2" t="n">
        <f aca="false">5/60</f>
        <v>0.0833333333333333</v>
      </c>
      <c r="E276" s="2" t="n">
        <f aca="false">11/60</f>
        <v>0.183333333333333</v>
      </c>
      <c r="G276" s="5" t="n">
        <f aca="false">SUM(C276:F276)</f>
        <v>0.75</v>
      </c>
      <c r="I276" s="12" t="s">
        <v>265</v>
      </c>
    </row>
    <row r="277" customFormat="false" ht="23.45" hidden="false" customHeight="false" outlineLevel="0" collapsed="false">
      <c r="B277" s="1" t="n">
        <v>45340</v>
      </c>
      <c r="C277" s="2" t="n">
        <f aca="false">9/60</f>
        <v>0.15</v>
      </c>
      <c r="G277" s="5" t="n">
        <f aca="false">SUM(C277:F277)</f>
        <v>0.15</v>
      </c>
      <c r="I277" s="10" t="s">
        <v>266</v>
      </c>
    </row>
    <row r="278" customFormat="false" ht="12.8" hidden="false" customHeight="false" outlineLevel="0" collapsed="false">
      <c r="B278" s="1" t="n">
        <v>45341</v>
      </c>
      <c r="C278" s="2" t="n">
        <f aca="false">58/60</f>
        <v>0.966666666666667</v>
      </c>
      <c r="G278" s="5" t="n">
        <f aca="false">SUM(C278:F278)</f>
        <v>0.966666666666667</v>
      </c>
      <c r="I278" s="3" t="s">
        <v>267</v>
      </c>
    </row>
    <row r="279" customFormat="false" ht="78.55" hidden="false" customHeight="false" outlineLevel="0" collapsed="false">
      <c r="B279" s="1" t="n">
        <v>45349</v>
      </c>
      <c r="C279" s="2" t="n">
        <f aca="false">11/60</f>
        <v>0.183333333333333</v>
      </c>
      <c r="D279" s="2" t="n">
        <f aca="false">46/60</f>
        <v>0.766666666666667</v>
      </c>
      <c r="G279" s="5" t="n">
        <f aca="false">SUM(C279:F279)</f>
        <v>0.95</v>
      </c>
      <c r="I279" s="3" t="s">
        <v>268</v>
      </c>
    </row>
    <row r="280" customFormat="false" ht="12.8" hidden="false" customHeight="false" outlineLevel="0" collapsed="false">
      <c r="B280" s="1" t="n">
        <v>45350</v>
      </c>
      <c r="C280" s="2" t="n">
        <f aca="false">20/60</f>
        <v>0.333333333333333</v>
      </c>
      <c r="G280" s="5" t="n">
        <f aca="false">SUM(C280:F280)</f>
        <v>0.333333333333333</v>
      </c>
      <c r="I280" s="10" t="s">
        <v>269</v>
      </c>
    </row>
    <row r="281" customFormat="false" ht="23.45" hidden="false" customHeight="false" outlineLevel="0" collapsed="false">
      <c r="B281" s="1" t="n">
        <v>45353</v>
      </c>
      <c r="C281" s="2" t="n">
        <f aca="false">34/60</f>
        <v>0.566666666666667</v>
      </c>
      <c r="D281" s="2" t="n">
        <f aca="false">20/60</f>
        <v>0.333333333333333</v>
      </c>
      <c r="G281" s="5" t="n">
        <f aca="false">SUM(C281:F281)</f>
        <v>0.9</v>
      </c>
      <c r="I281" s="3" t="s">
        <v>270</v>
      </c>
    </row>
    <row r="282" customFormat="false" ht="34.5" hidden="false" customHeight="false" outlineLevel="0" collapsed="false">
      <c r="B282" s="1" t="n">
        <v>45360</v>
      </c>
      <c r="C282" s="2" t="n">
        <f aca="false">20/60</f>
        <v>0.333333333333333</v>
      </c>
      <c r="D282" s="2" t="n">
        <f aca="false">9/60</f>
        <v>0.15</v>
      </c>
      <c r="E282" s="2" t="n">
        <f aca="false">18/60</f>
        <v>0.3</v>
      </c>
      <c r="F282" s="2" t="n">
        <f aca="false">14/60</f>
        <v>0.233333333333333</v>
      </c>
      <c r="G282" s="5" t="n">
        <f aca="false">SUM(C282:F282)</f>
        <v>1.01666666666667</v>
      </c>
      <c r="I282" s="12" t="s">
        <v>271</v>
      </c>
    </row>
    <row r="283" customFormat="false" ht="23.45" hidden="false" customHeight="false" outlineLevel="0" collapsed="false">
      <c r="B283" s="1" t="n">
        <v>45368</v>
      </c>
      <c r="C283" s="2" t="n">
        <f aca="false">16/60</f>
        <v>0.266666666666667</v>
      </c>
      <c r="G283" s="5" t="n">
        <f aca="false">SUM(C283:F283)</f>
        <v>0.266666666666667</v>
      </c>
      <c r="I283" s="3" t="s">
        <v>272</v>
      </c>
    </row>
    <row r="284" customFormat="false" ht="111.4" hidden="false" customHeight="false" outlineLevel="0" collapsed="false">
      <c r="B284" s="1" t="n">
        <v>45369</v>
      </c>
      <c r="C284" s="2" t="n">
        <f aca="false">11/60</f>
        <v>0.183333333333333</v>
      </c>
      <c r="D284" s="2" t="n">
        <f aca="false">4/60</f>
        <v>0.0666666666666667</v>
      </c>
      <c r="E284" s="2" t="n">
        <f aca="false">29/60</f>
        <v>0.483333333333333</v>
      </c>
      <c r="F284" s="2" t="n">
        <f aca="false">31/60</f>
        <v>0.516666666666667</v>
      </c>
      <c r="G284" s="5" t="n">
        <f aca="false">SUM(C284:F284)</f>
        <v>1.25</v>
      </c>
      <c r="I284" s="3" t="s">
        <v>273</v>
      </c>
    </row>
    <row r="285" customFormat="false" ht="12.8" hidden="false" customHeight="false" outlineLevel="0" collapsed="false">
      <c r="B285" s="1" t="n">
        <v>45375</v>
      </c>
      <c r="C285" s="2" t="n">
        <f aca="false">14/60</f>
        <v>0.233333333333333</v>
      </c>
      <c r="G285" s="5" t="n">
        <f aca="false">SUM(C285:F285)</f>
        <v>0.233333333333333</v>
      </c>
      <c r="I285" s="3" t="s">
        <v>274</v>
      </c>
    </row>
    <row r="286" customFormat="false" ht="12.8" hidden="false" customHeight="false" outlineLevel="0" collapsed="false">
      <c r="B286" s="1" t="n">
        <v>45376</v>
      </c>
      <c r="C286" s="2" t="n">
        <f aca="false">10/60</f>
        <v>0.166666666666667</v>
      </c>
      <c r="G286" s="5" t="n">
        <f aca="false">SUM(C286:F286)</f>
        <v>0.166666666666667</v>
      </c>
      <c r="I286" s="10" t="s">
        <v>275</v>
      </c>
    </row>
    <row r="287" customFormat="false" ht="12.8" hidden="false" customHeight="false" outlineLevel="0" collapsed="false">
      <c r="B287" s="1" t="n">
        <v>45377</v>
      </c>
      <c r="C287" s="2" t="n">
        <f aca="false">34/60</f>
        <v>0.566666666666667</v>
      </c>
      <c r="G287" s="5" t="n">
        <f aca="false">SUM(C287:F287)</f>
        <v>0.566666666666667</v>
      </c>
      <c r="I287" s="3" t="s">
        <v>276</v>
      </c>
    </row>
    <row r="288" customFormat="false" ht="34.5" hidden="false" customHeight="false" outlineLevel="0" collapsed="false">
      <c r="B288" s="1" t="n">
        <v>45384</v>
      </c>
      <c r="C288" s="2" t="n">
        <f aca="false">7/60</f>
        <v>0.116666666666667</v>
      </c>
      <c r="D288" s="2" t="n">
        <f aca="false">19/60</f>
        <v>0.316666666666667</v>
      </c>
      <c r="G288" s="5" t="n">
        <f aca="false">SUM(C288:F288)</f>
        <v>0.433333333333333</v>
      </c>
      <c r="I288" s="3" t="s">
        <v>277</v>
      </c>
    </row>
    <row r="289" customFormat="false" ht="23.45" hidden="false" customHeight="false" outlineLevel="0" collapsed="false">
      <c r="B289" s="1" t="n">
        <v>45384</v>
      </c>
      <c r="C289" s="2" t="n">
        <f aca="false">43/60</f>
        <v>0.716666666666667</v>
      </c>
      <c r="G289" s="5" t="n">
        <f aca="false">SUM(C289:F289)</f>
        <v>0.716666666666667</v>
      </c>
      <c r="I289" s="12" t="s">
        <v>278</v>
      </c>
    </row>
    <row r="290" customFormat="false" ht="12.8" hidden="false" customHeight="false" outlineLevel="0" collapsed="false">
      <c r="B290" s="1" t="n">
        <v>45388</v>
      </c>
      <c r="C290" s="2" t="n">
        <f aca="false">30/60</f>
        <v>0.5</v>
      </c>
      <c r="D290" s="2" t="n">
        <f aca="false">7/60</f>
        <v>0.116666666666667</v>
      </c>
      <c r="G290" s="5" t="n">
        <f aca="false">SUM(C290:F290)</f>
        <v>0.616666666666667</v>
      </c>
      <c r="I290" s="3" t="s">
        <v>279</v>
      </c>
    </row>
    <row r="291" customFormat="false" ht="23.45" hidden="false" customHeight="false" outlineLevel="0" collapsed="false">
      <c r="B291" s="1" t="n">
        <v>45392</v>
      </c>
      <c r="C291" s="2" t="n">
        <f aca="false">13/60</f>
        <v>0.216666666666667</v>
      </c>
      <c r="D291" s="2" t="n">
        <f aca="false">5/60</f>
        <v>0.0833333333333333</v>
      </c>
      <c r="E291" s="2" t="n">
        <f aca="false">10/60</f>
        <v>0.166666666666667</v>
      </c>
      <c r="G291" s="5" t="n">
        <f aca="false">SUM(C291:F291)</f>
        <v>0.466666666666667</v>
      </c>
      <c r="I291" s="3" t="s">
        <v>280</v>
      </c>
    </row>
    <row r="292" customFormat="false" ht="12.8" hidden="false" customHeight="false" outlineLevel="0" collapsed="false">
      <c r="B292" s="1" t="n">
        <v>45400</v>
      </c>
      <c r="C292" s="2" t="n">
        <f aca="false">9/60</f>
        <v>0.15</v>
      </c>
      <c r="D292" s="2" t="n">
        <f aca="false">20/60</f>
        <v>0.333333333333333</v>
      </c>
      <c r="G292" s="5" t="n">
        <f aca="false">SUM(C292:F292)</f>
        <v>0.483333333333333</v>
      </c>
      <c r="I292" s="3" t="s">
        <v>281</v>
      </c>
    </row>
    <row r="293" customFormat="false" ht="12.8" hidden="false" customHeight="false" outlineLevel="0" collapsed="false">
      <c r="B293" s="1" t="n">
        <v>45401</v>
      </c>
      <c r="C293" s="2" t="n">
        <f aca="false">25/60</f>
        <v>0.416666666666667</v>
      </c>
      <c r="G293" s="5" t="n">
        <f aca="false">SUM(C293:F293)</f>
        <v>0.416666666666667</v>
      </c>
      <c r="I293" s="3" t="s">
        <v>282</v>
      </c>
    </row>
    <row r="294" customFormat="false" ht="12.8" hidden="false" customHeight="false" outlineLevel="0" collapsed="false">
      <c r="B294" s="1" t="n">
        <v>45402</v>
      </c>
      <c r="C294" s="2" t="n">
        <f aca="false">12/60</f>
        <v>0.2</v>
      </c>
      <c r="G294" s="5" t="n">
        <f aca="false">SUM(C294:F294)</f>
        <v>0.2</v>
      </c>
      <c r="I294" s="10" t="s">
        <v>283</v>
      </c>
    </row>
    <row r="295" customFormat="false" ht="73.3" hidden="false" customHeight="false" outlineLevel="0" collapsed="false">
      <c r="B295" s="1" t="n">
        <v>45405</v>
      </c>
      <c r="C295" s="2" t="n">
        <f aca="false">20/60</f>
        <v>0.333333333333333</v>
      </c>
      <c r="D295" s="2" t="n">
        <f aca="false">18/60</f>
        <v>0.3</v>
      </c>
      <c r="E295" s="2" t="n">
        <f aca="false">6/60</f>
        <v>0.1</v>
      </c>
      <c r="F295" s="2" t="n">
        <f aca="false">32/60</f>
        <v>0.533333333333333</v>
      </c>
      <c r="G295" s="5" t="n">
        <f aca="false">SUM(C295:F295)</f>
        <v>1.26666666666667</v>
      </c>
      <c r="I295" s="10" t="s">
        <v>284</v>
      </c>
    </row>
    <row r="296" customFormat="false" ht="12.8" hidden="false" customHeight="false" outlineLevel="0" collapsed="false">
      <c r="B296" s="1" t="n">
        <v>45405</v>
      </c>
      <c r="C296" s="2" t="n">
        <f aca="false">50/60</f>
        <v>0.833333333333333</v>
      </c>
      <c r="G296" s="5" t="n">
        <f aca="false">SUM(C296:F296)</f>
        <v>0.833333333333333</v>
      </c>
      <c r="I296" s="10" t="s">
        <v>285</v>
      </c>
    </row>
    <row r="297" customFormat="false" ht="23.45" hidden="false" customHeight="false" outlineLevel="0" collapsed="false">
      <c r="B297" s="1" t="n">
        <v>45406</v>
      </c>
      <c r="C297" s="2" t="n">
        <f aca="false">18/60</f>
        <v>0.3</v>
      </c>
      <c r="D297" s="2" t="n">
        <f aca="false">18/60</f>
        <v>0.3</v>
      </c>
      <c r="E297" s="2" t="n">
        <f aca="false">30/60</f>
        <v>0.5</v>
      </c>
      <c r="G297" s="5" t="n">
        <f aca="false">SUM(C297:F297)</f>
        <v>1.1</v>
      </c>
      <c r="I297" s="10" t="s">
        <v>286</v>
      </c>
    </row>
    <row r="298" customFormat="false" ht="34.5" hidden="false" customHeight="false" outlineLevel="0" collapsed="false">
      <c r="B298" s="1" t="n">
        <v>45410</v>
      </c>
      <c r="C298" s="2" t="n">
        <f aca="false">22/60</f>
        <v>0.366666666666667</v>
      </c>
      <c r="D298" s="2" t="n">
        <f aca="false">4/60</f>
        <v>0.0666666666666667</v>
      </c>
      <c r="E298" s="2" t="n">
        <f aca="false">10/60</f>
        <v>0.166666666666667</v>
      </c>
      <c r="G298" s="5" t="n">
        <f aca="false">SUM(C298:F298)</f>
        <v>0.6</v>
      </c>
      <c r="I298" s="10" t="s">
        <v>287</v>
      </c>
    </row>
    <row r="299" customFormat="false" ht="23.45" hidden="false" customHeight="false" outlineLevel="0" collapsed="false">
      <c r="B299" s="1" t="n">
        <v>45048</v>
      </c>
      <c r="C299" s="2" t="n">
        <f aca="false">20/60</f>
        <v>0.333333333333333</v>
      </c>
      <c r="G299" s="5" t="n">
        <f aca="false">SUM(C299:F299)</f>
        <v>0.333333333333333</v>
      </c>
      <c r="I299" s="10" t="s">
        <v>288</v>
      </c>
    </row>
    <row r="300" customFormat="false" ht="23.45" hidden="false" customHeight="false" outlineLevel="0" collapsed="false">
      <c r="B300" s="1" t="n">
        <v>45417</v>
      </c>
      <c r="C300" s="2" t="n">
        <f aca="false">35/60</f>
        <v>0.583333333333333</v>
      </c>
      <c r="G300" s="5" t="n">
        <f aca="false">SUM(C300:F300)</f>
        <v>0.583333333333333</v>
      </c>
      <c r="I300" s="10" t="s">
        <v>289</v>
      </c>
    </row>
    <row r="301" customFormat="false" ht="23.45" hidden="false" customHeight="false" outlineLevel="0" collapsed="false">
      <c r="B301" s="1" t="n">
        <v>45420</v>
      </c>
      <c r="C301" s="2" t="n">
        <f aca="false">40/60</f>
        <v>0.666666666666667</v>
      </c>
      <c r="G301" s="5" t="n">
        <f aca="false">SUM(C301:F301)</f>
        <v>0.666666666666667</v>
      </c>
      <c r="I301" s="10" t="s">
        <v>290</v>
      </c>
    </row>
    <row r="302" customFormat="false" ht="23.45" hidden="false" customHeight="false" outlineLevel="0" collapsed="false">
      <c r="B302" s="1" t="n">
        <v>45427</v>
      </c>
      <c r="C302" s="2" t="n">
        <f aca="false">7/60</f>
        <v>0.116666666666667</v>
      </c>
      <c r="D302" s="2" t="n">
        <f aca="false">58/60</f>
        <v>0.966666666666667</v>
      </c>
      <c r="E302" s="2" t="n">
        <f aca="false">25/60</f>
        <v>0.416666666666667</v>
      </c>
      <c r="G302" s="5" t="n">
        <f aca="false">SUM(C302:F302)</f>
        <v>1.5</v>
      </c>
      <c r="I302" s="10" t="s">
        <v>291</v>
      </c>
    </row>
    <row r="303" customFormat="false" ht="56.55" hidden="false" customHeight="false" outlineLevel="0" collapsed="false">
      <c r="B303" s="1" t="n">
        <v>45428</v>
      </c>
      <c r="C303" s="2" t="n">
        <f aca="false">18/60</f>
        <v>0.3</v>
      </c>
      <c r="D303" s="2" t="n">
        <f aca="false">40/60</f>
        <v>0.666666666666667</v>
      </c>
      <c r="E303" s="2" t="n">
        <f aca="false">20/60</f>
        <v>0.333333333333333</v>
      </c>
      <c r="G303" s="5" t="n">
        <f aca="false">SUM(C303:F303)</f>
        <v>1.3</v>
      </c>
      <c r="I303" s="10" t="s">
        <v>292</v>
      </c>
    </row>
    <row r="304" customFormat="false" ht="12.8" hidden="false" customHeight="false" outlineLevel="0" collapsed="false">
      <c r="B304" s="1" t="n">
        <v>45429</v>
      </c>
      <c r="C304" s="2" t="n">
        <f aca="false">25/60</f>
        <v>0.416666666666667</v>
      </c>
      <c r="G304" s="5" t="n">
        <f aca="false">SUM(C304:F304)</f>
        <v>0.416666666666667</v>
      </c>
      <c r="I304" s="10" t="s">
        <v>293</v>
      </c>
    </row>
    <row r="305" customFormat="false" ht="23.45" hidden="false" customHeight="false" outlineLevel="0" collapsed="false">
      <c r="B305" s="1" t="n">
        <v>45430</v>
      </c>
      <c r="C305" s="2" t="n">
        <f aca="false">15/60</f>
        <v>0.25</v>
      </c>
      <c r="G305" s="5" t="n">
        <f aca="false">SUM(C305:F305)</f>
        <v>0.25</v>
      </c>
      <c r="I305" s="10" t="s">
        <v>294</v>
      </c>
    </row>
    <row r="306" customFormat="false" ht="12.8" hidden="false" customHeight="false" outlineLevel="0" collapsed="false">
      <c r="B306" s="1" t="n">
        <v>45443</v>
      </c>
      <c r="C306" s="2" t="n">
        <f aca="false">16/60</f>
        <v>0.266666666666667</v>
      </c>
      <c r="G306" s="5" t="n">
        <f aca="false">SUM(C306:F306)</f>
        <v>0.266666666666667</v>
      </c>
      <c r="I306" s="10" t="s">
        <v>295</v>
      </c>
    </row>
    <row r="307" customFormat="false" ht="12.8" hidden="false" customHeight="false" outlineLevel="0" collapsed="false">
      <c r="B307" s="1" t="n">
        <v>45445</v>
      </c>
      <c r="C307" s="2" t="n">
        <f aca="false">12/60</f>
        <v>0.2</v>
      </c>
      <c r="G307" s="5" t="n">
        <f aca="false">SUM(C307:F307)</f>
        <v>0.2</v>
      </c>
      <c r="I307" s="10" t="s">
        <v>296</v>
      </c>
    </row>
    <row r="308" customFormat="false" ht="23.45" hidden="false" customHeight="false" outlineLevel="0" collapsed="false">
      <c r="B308" s="1" t="n">
        <v>45446</v>
      </c>
      <c r="C308" s="2" t="n">
        <f aca="false">13/60</f>
        <v>0.216666666666667</v>
      </c>
      <c r="D308" s="2" t="n">
        <f aca="false">61/60</f>
        <v>1.01666666666667</v>
      </c>
      <c r="E308" s="2" t="n">
        <f aca="false">42/60</f>
        <v>0.7</v>
      </c>
      <c r="G308" s="5" t="n">
        <f aca="false">SUM(C308:F308)</f>
        <v>1.93333333333333</v>
      </c>
      <c r="I308" s="10" t="s">
        <v>297</v>
      </c>
    </row>
    <row r="309" customFormat="false" ht="23.45" hidden="false" customHeight="false" outlineLevel="0" collapsed="false">
      <c r="B309" s="1" t="n">
        <v>45455</v>
      </c>
      <c r="C309" s="2" t="n">
        <f aca="false">20/60</f>
        <v>0.333333333333333</v>
      </c>
      <c r="D309" s="2" t="n">
        <f aca="false">10/60</f>
        <v>0.166666666666667</v>
      </c>
      <c r="E309" s="2" t="n">
        <f aca="false">33/60</f>
        <v>0.55</v>
      </c>
      <c r="G309" s="5" t="n">
        <f aca="false">SUM(C309:F309)</f>
        <v>1.05</v>
      </c>
      <c r="I309" s="10" t="s">
        <v>298</v>
      </c>
    </row>
    <row r="310" customFormat="false" ht="23.45" hidden="false" customHeight="false" outlineLevel="0" collapsed="false">
      <c r="B310" s="1" t="n">
        <v>45457</v>
      </c>
      <c r="C310" s="2" t="n">
        <f aca="false">14/60</f>
        <v>0.233333333333333</v>
      </c>
      <c r="D310" s="2" t="n">
        <f aca="false">23/60</f>
        <v>0.383333333333333</v>
      </c>
      <c r="G310" s="5" t="n">
        <f aca="false">SUM(C310:F310)</f>
        <v>0.616666666666667</v>
      </c>
      <c r="I310" s="10" t="s">
        <v>299</v>
      </c>
    </row>
    <row r="311" customFormat="false" ht="12.8" hidden="false" customHeight="false" outlineLevel="0" collapsed="false">
      <c r="B311" s="1" t="n">
        <v>45466</v>
      </c>
      <c r="C311" s="2" t="n">
        <f aca="false">26/60</f>
        <v>0.433333333333333</v>
      </c>
      <c r="D311" s="2" t="n">
        <f aca="false">10/60</f>
        <v>0.166666666666667</v>
      </c>
      <c r="G311" s="5" t="n">
        <f aca="false">SUM(C311:F311)</f>
        <v>0.6</v>
      </c>
      <c r="I311" s="10" t="s">
        <v>300</v>
      </c>
    </row>
    <row r="312" customFormat="false" ht="12.8" hidden="false" customHeight="false" outlineLevel="0" collapsed="false">
      <c r="B312" s="1" t="n">
        <v>45467</v>
      </c>
      <c r="C312" s="2" t="n">
        <f aca="false">17/60</f>
        <v>0.283333333333333</v>
      </c>
      <c r="G312" s="5" t="n">
        <f aca="false">SUM(C312:F312)</f>
        <v>0.283333333333333</v>
      </c>
      <c r="I312" s="10" t="s">
        <v>301</v>
      </c>
    </row>
    <row r="313" customFormat="false" ht="12.8" hidden="false" customHeight="false" outlineLevel="0" collapsed="false">
      <c r="B313" s="1" t="n">
        <v>45475</v>
      </c>
      <c r="C313" s="2" t="n">
        <f aca="false">5/60</f>
        <v>0.0833333333333333</v>
      </c>
      <c r="G313" s="5" t="n">
        <f aca="false">SUM(C313:F313)</f>
        <v>0.0833333333333333</v>
      </c>
      <c r="I313" s="10" t="s">
        <v>302</v>
      </c>
    </row>
    <row r="314" customFormat="false" ht="12.8" hidden="false" customHeight="false" outlineLevel="0" collapsed="false">
      <c r="B314" s="1" t="n">
        <v>45477</v>
      </c>
      <c r="C314" s="2" t="n">
        <f aca="false">8/60</f>
        <v>0.133333333333333</v>
      </c>
      <c r="G314" s="5" t="n">
        <f aca="false">SUM(C314:F314)</f>
        <v>0.133333333333333</v>
      </c>
      <c r="I314" s="10" t="s">
        <v>303</v>
      </c>
    </row>
    <row r="315" customFormat="false" ht="12.8" hidden="false" customHeight="false" outlineLevel="0" collapsed="false">
      <c r="B315" s="1" t="n">
        <v>45480</v>
      </c>
      <c r="C315" s="2" t="n">
        <f aca="false">21/60</f>
        <v>0.35</v>
      </c>
      <c r="G315" s="5" t="n">
        <f aca="false">SUM(C315:F315)</f>
        <v>0.35</v>
      </c>
      <c r="I315" s="10" t="s">
        <v>304</v>
      </c>
    </row>
    <row r="316" customFormat="false" ht="12.8" hidden="false" customHeight="false" outlineLevel="0" collapsed="false">
      <c r="B316" s="1" t="n">
        <v>45490</v>
      </c>
      <c r="C316" s="2" t="n">
        <f aca="false">22/60</f>
        <v>0.366666666666667</v>
      </c>
      <c r="D316" s="2" t="n">
        <f aca="false">51/60</f>
        <v>0.85</v>
      </c>
      <c r="G316" s="5" t="n">
        <f aca="false">SUM(C316:F316)</f>
        <v>1.21666666666667</v>
      </c>
      <c r="I316" s="10" t="s">
        <v>305</v>
      </c>
    </row>
    <row r="317" customFormat="false" ht="23.45" hidden="false" customHeight="false" outlineLevel="0" collapsed="false">
      <c r="B317" s="1" t="n">
        <v>45496</v>
      </c>
      <c r="C317" s="2" t="n">
        <f aca="false">18/60</f>
        <v>0.3</v>
      </c>
      <c r="G317" s="5" t="n">
        <f aca="false">SUM(C317:F317)</f>
        <v>0.3</v>
      </c>
      <c r="I317" s="10" t="s">
        <v>306</v>
      </c>
    </row>
    <row r="318" customFormat="false" ht="45.5" hidden="false" customHeight="false" outlineLevel="0" collapsed="false">
      <c r="B318" s="1" t="n">
        <v>45507</v>
      </c>
      <c r="C318" s="2" t="n">
        <f aca="false">5/60</f>
        <v>0.0833333333333333</v>
      </c>
      <c r="D318" s="2" t="n">
        <f aca="false">12/60</f>
        <v>0.2</v>
      </c>
      <c r="E318" s="2" t="n">
        <f aca="false">20/60</f>
        <v>0.333333333333333</v>
      </c>
      <c r="F318" s="2" t="n">
        <f aca="false">12/60</f>
        <v>0.2</v>
      </c>
      <c r="G318" s="5" t="n">
        <f aca="false">SUM(C318:F318)</f>
        <v>0.816666666666667</v>
      </c>
      <c r="I318" s="10" t="s">
        <v>307</v>
      </c>
    </row>
    <row r="319" customFormat="false" ht="12.8" hidden="false" customHeight="false" outlineLevel="0" collapsed="false">
      <c r="B319" s="1" t="n">
        <v>45508</v>
      </c>
      <c r="C319" s="2" t="n">
        <f aca="false">16/60</f>
        <v>0.266666666666667</v>
      </c>
      <c r="G319" s="5" t="n">
        <f aca="false">SUM(C319:F319)</f>
        <v>0.266666666666667</v>
      </c>
      <c r="I319" s="10" t="s">
        <v>308</v>
      </c>
    </row>
    <row r="320" customFormat="false" ht="12.8" hidden="false" customHeight="false" outlineLevel="0" collapsed="false">
      <c r="B320" s="1" t="n">
        <v>45509</v>
      </c>
      <c r="C320" s="2" t="n">
        <f aca="false">84/60</f>
        <v>1.4</v>
      </c>
      <c r="G320" s="5" t="n">
        <f aca="false">SUM(C320:F320)</f>
        <v>1.4</v>
      </c>
      <c r="I320" s="10" t="s">
        <v>309</v>
      </c>
    </row>
    <row r="321" customFormat="false" ht="12.8" hidden="false" customHeight="false" outlineLevel="0" collapsed="false">
      <c r="B321" s="1" t="n">
        <v>45515</v>
      </c>
      <c r="C321" s="2" t="n">
        <f aca="false">40/60</f>
        <v>0.666666666666667</v>
      </c>
      <c r="G321" s="5" t="n">
        <f aca="false">SUM(C321:F321)</f>
        <v>0.666666666666667</v>
      </c>
      <c r="I321" s="10" t="s">
        <v>310</v>
      </c>
    </row>
    <row r="322" customFormat="false" ht="45.5" hidden="false" customHeight="false" outlineLevel="0" collapsed="false">
      <c r="B322" s="1" t="n">
        <v>45532</v>
      </c>
      <c r="C322" s="2" t="n">
        <f aca="false">22/60</f>
        <v>0.366666666666667</v>
      </c>
      <c r="D322" s="2" t="n">
        <f aca="false">9/60</f>
        <v>0.15</v>
      </c>
      <c r="E322" s="2" t="n">
        <f aca="false">15/60</f>
        <v>0.25</v>
      </c>
      <c r="F322" s="2" t="n">
        <f aca="false">10/60</f>
        <v>0.166666666666667</v>
      </c>
      <c r="G322" s="5" t="n">
        <f aca="false">SUM(C322:F322)</f>
        <v>0.933333333333334</v>
      </c>
      <c r="I322" s="10" t="s">
        <v>311</v>
      </c>
    </row>
    <row r="323" customFormat="false" ht="12.8" hidden="false" customHeight="false" outlineLevel="0" collapsed="false">
      <c r="B323" s="1" t="n">
        <v>45534</v>
      </c>
      <c r="C323" s="2" t="n">
        <f aca="false">10/60</f>
        <v>0.166666666666667</v>
      </c>
      <c r="G323" s="5" t="n">
        <f aca="false">SUM(C323:F323)</f>
        <v>0.166666666666667</v>
      </c>
      <c r="I323" s="10" t="s">
        <v>312</v>
      </c>
    </row>
    <row r="324" customFormat="false" ht="23.8" hidden="false" customHeight="false" outlineLevel="0" collapsed="false">
      <c r="B324" s="1" t="n">
        <v>45558</v>
      </c>
      <c r="C324" s="2" t="n">
        <f aca="false">55/60</f>
        <v>0.916666666666667</v>
      </c>
      <c r="D324" s="2" t="n">
        <f aca="false">45/60</f>
        <v>0.75</v>
      </c>
      <c r="G324" s="5" t="n">
        <f aca="false">SUM(C324:F324)</f>
        <v>1.66666666666667</v>
      </c>
      <c r="I324" s="10" t="s">
        <v>313</v>
      </c>
    </row>
    <row r="325" customFormat="false" ht="23.8" hidden="false" customHeight="false" outlineLevel="0" collapsed="false">
      <c r="B325" s="1" t="n">
        <v>45560</v>
      </c>
      <c r="C325" s="2" t="n">
        <f aca="false">39/60</f>
        <v>0.65</v>
      </c>
      <c r="D325" s="2" t="n">
        <f aca="false">20/60</f>
        <v>0.333333333333333</v>
      </c>
      <c r="G325" s="5" t="n">
        <f aca="false">SUM(C325:F325)</f>
        <v>0.983333333333333</v>
      </c>
      <c r="I325" s="10" t="s">
        <v>314</v>
      </c>
    </row>
    <row r="326" customFormat="false" ht="34.75" hidden="false" customHeight="false" outlineLevel="0" collapsed="false">
      <c r="B326" s="1" t="n">
        <v>45561</v>
      </c>
      <c r="C326" s="2" t="n">
        <f aca="false">35/60</f>
        <v>0.583333333333333</v>
      </c>
      <c r="D326" s="15" t="n">
        <f aca="false">15/60</f>
        <v>0.25</v>
      </c>
      <c r="E326" s="2" t="n">
        <f aca="false">25/60</f>
        <v>0.416666666666667</v>
      </c>
      <c r="G326" s="5" t="n">
        <f aca="false">SUM(C326:F326)</f>
        <v>1.25</v>
      </c>
      <c r="I326" s="10" t="s">
        <v>315</v>
      </c>
    </row>
    <row r="327" customFormat="false" ht="23.45" hidden="false" customHeight="false" outlineLevel="0" collapsed="false">
      <c r="B327" s="1" t="n">
        <v>45564</v>
      </c>
      <c r="C327" s="2" t="n">
        <f aca="false">20/60</f>
        <v>0.333333333333333</v>
      </c>
      <c r="G327" s="5" t="n">
        <f aca="false">SUM(C327:F327)</f>
        <v>0.333333333333333</v>
      </c>
      <c r="I327" s="10" t="s">
        <v>316</v>
      </c>
    </row>
    <row r="328" customFormat="false" ht="23.45" hidden="false" customHeight="false" outlineLevel="0" collapsed="false">
      <c r="B328" s="1" t="n">
        <v>45565</v>
      </c>
      <c r="C328" s="2" t="n">
        <f aca="false">50/60</f>
        <v>0.833333333333333</v>
      </c>
      <c r="D328" s="2" t="n">
        <f aca="false">35/60</f>
        <v>0.583333333333333</v>
      </c>
      <c r="E328" s="2" t="n">
        <f aca="false">35/60</f>
        <v>0.583333333333333</v>
      </c>
      <c r="G328" s="5" t="n">
        <f aca="false">SUM(C328:F328)</f>
        <v>2</v>
      </c>
      <c r="I328" s="10" t="s">
        <v>317</v>
      </c>
    </row>
    <row r="329" customFormat="false" ht="12.8" hidden="false" customHeight="false" outlineLevel="0" collapsed="false">
      <c r="B329" s="1" t="n">
        <v>45566</v>
      </c>
      <c r="C329" s="2" t="n">
        <f aca="false">85/60</f>
        <v>1.41666666666667</v>
      </c>
      <c r="G329" s="5" t="n">
        <f aca="false">SUM(C329:F329)</f>
        <v>1.41666666666667</v>
      </c>
      <c r="I329" s="10" t="s">
        <v>318</v>
      </c>
    </row>
    <row r="330" customFormat="false" ht="23.45" hidden="false" customHeight="false" outlineLevel="0" collapsed="false">
      <c r="B330" s="1" t="n">
        <v>45567</v>
      </c>
      <c r="C330" s="2" t="n">
        <f aca="false">55/60</f>
        <v>0.916666666666667</v>
      </c>
      <c r="G330" s="5" t="n">
        <f aca="false">SUM(C330:F330)</f>
        <v>0.916666666666667</v>
      </c>
      <c r="I330" s="10" t="s">
        <v>319</v>
      </c>
    </row>
    <row r="331" customFormat="false" ht="23.45" hidden="false" customHeight="false" outlineLevel="0" collapsed="false">
      <c r="B331" s="1" t="n">
        <v>45571</v>
      </c>
      <c r="C331" s="2" t="n">
        <f aca="false">25/60</f>
        <v>0.416666666666667</v>
      </c>
      <c r="D331" s="2" t="n">
        <f aca="false">35/60</f>
        <v>0.583333333333333</v>
      </c>
      <c r="E331" s="2" t="n">
        <f aca="false">55/60</f>
        <v>0.916666666666667</v>
      </c>
      <c r="F331" s="2" t="n">
        <f aca="false">44/60</f>
        <v>0.733333333333333</v>
      </c>
      <c r="G331" s="5" t="n">
        <f aca="false">SUM(C331:F331)</f>
        <v>2.65</v>
      </c>
      <c r="I331" s="10" t="s">
        <v>320</v>
      </c>
    </row>
    <row r="332" customFormat="false" ht="12.8" hidden="false" customHeight="false" outlineLevel="0" collapsed="false">
      <c r="B332" s="1" t="n">
        <v>45572</v>
      </c>
      <c r="C332" s="2" t="n">
        <f aca="false">11/60</f>
        <v>0.183333333333333</v>
      </c>
      <c r="G332" s="5" t="n">
        <f aca="false">SUM(C332:F332)</f>
        <v>0.183333333333333</v>
      </c>
      <c r="I332" s="10" t="s">
        <v>321</v>
      </c>
    </row>
    <row r="333" customFormat="false" ht="12.8" hidden="false" customHeight="false" outlineLevel="0" collapsed="false">
      <c r="B333" s="1" t="n">
        <v>45573</v>
      </c>
      <c r="C333" s="2" t="n">
        <f aca="false">35/60</f>
        <v>0.583333333333333</v>
      </c>
      <c r="D333" s="2" t="n">
        <f aca="false">45/60</f>
        <v>0.75</v>
      </c>
      <c r="G333" s="5" t="n">
        <f aca="false">SUM(C333:F333)</f>
        <v>1.33333333333333</v>
      </c>
      <c r="I333" s="10" t="s">
        <v>322</v>
      </c>
    </row>
    <row r="334" customFormat="false" ht="23.45" hidden="false" customHeight="false" outlineLevel="0" collapsed="false">
      <c r="B334" s="1" t="n">
        <v>45574</v>
      </c>
      <c r="C334" s="2" t="n">
        <f aca="false">30/60</f>
        <v>0.5</v>
      </c>
      <c r="D334" s="2" t="n">
        <f aca="false">20/60</f>
        <v>0.333333333333333</v>
      </c>
      <c r="E334" s="2" t="n">
        <f aca="false">38/60</f>
        <v>0.633333333333333</v>
      </c>
      <c r="G334" s="5" t="n">
        <f aca="false">SUM(C334:F334)</f>
        <v>1.46666666666667</v>
      </c>
      <c r="I334" s="10" t="s">
        <v>323</v>
      </c>
    </row>
    <row r="335" customFormat="false" ht="12.8" hidden="false" customHeight="false" outlineLevel="0" collapsed="false">
      <c r="G335" s="14" t="n">
        <f aca="false">SUM($G$276:G334)</f>
        <v>45.2166666666667</v>
      </c>
      <c r="I335" s="10" t="s">
        <v>324</v>
      </c>
    </row>
    <row r="336" customFormat="false" ht="12.8" hidden="false" customHeight="false" outlineLevel="0" collapsed="false">
      <c r="G336" s="5"/>
      <c r="I336" s="10"/>
    </row>
    <row r="337" customFormat="false" ht="12.8" hidden="false" customHeight="false" outlineLevel="0" collapsed="false">
      <c r="G337" s="5"/>
      <c r="I337" s="10"/>
    </row>
    <row r="338" customFormat="false" ht="12.8" hidden="false" customHeight="false" outlineLevel="0" collapsed="false">
      <c r="B338" s="1" t="n">
        <v>45577</v>
      </c>
      <c r="C338" s="2" t="n">
        <f aca="false">20/60</f>
        <v>0.333333333333333</v>
      </c>
      <c r="G338" s="5" t="n">
        <f aca="false">SUM(C338:F338)</f>
        <v>0.333333333333333</v>
      </c>
      <c r="I338" s="10" t="s">
        <v>325</v>
      </c>
    </row>
    <row r="339" customFormat="false" ht="23.45" hidden="false" customHeight="false" outlineLevel="0" collapsed="false">
      <c r="B339" s="1" t="n">
        <v>45578</v>
      </c>
      <c r="C339" s="2" t="n">
        <f aca="false">17/60</f>
        <v>0.283333333333333</v>
      </c>
      <c r="D339" s="2" t="n">
        <f aca="false">59/60</f>
        <v>0.983333333333333</v>
      </c>
      <c r="G339" s="5" t="n">
        <f aca="false">SUM(C339:F339)</f>
        <v>1.26666666666667</v>
      </c>
      <c r="I339" s="10" t="s">
        <v>326</v>
      </c>
    </row>
    <row r="340" customFormat="false" ht="12.8" hidden="false" customHeight="false" outlineLevel="0" collapsed="false">
      <c r="B340" s="1" t="n">
        <v>45584</v>
      </c>
      <c r="C340" s="2" t="n">
        <f aca="false">35/60</f>
        <v>0.583333333333333</v>
      </c>
      <c r="G340" s="5" t="n">
        <f aca="false">SUM(C340:F340)</f>
        <v>0.583333333333333</v>
      </c>
      <c r="I340" s="10" t="s">
        <v>327</v>
      </c>
    </row>
    <row r="341" customFormat="false" ht="12.8" hidden="false" customHeight="false" outlineLevel="0" collapsed="false">
      <c r="B341" s="1" t="n">
        <v>45585</v>
      </c>
      <c r="C341" s="2" t="n">
        <f aca="false">65/60</f>
        <v>1.08333333333333</v>
      </c>
      <c r="G341" s="5" t="n">
        <f aca="false">SUM(C341:F341)</f>
        <v>1.08333333333333</v>
      </c>
      <c r="I341" s="10" t="s">
        <v>328</v>
      </c>
    </row>
    <row r="342" customFormat="false" ht="12.8" hidden="false" customHeight="false" outlineLevel="0" collapsed="false">
      <c r="B342" s="1" t="n">
        <v>45586</v>
      </c>
      <c r="C342" s="2" t="n">
        <f aca="false">55/60</f>
        <v>0.916666666666667</v>
      </c>
      <c r="G342" s="5" t="n">
        <f aca="false">SUM(C342:F342)</f>
        <v>0.916666666666667</v>
      </c>
      <c r="I342" s="10" t="s">
        <v>329</v>
      </c>
    </row>
    <row r="343" customFormat="false" ht="23.45" hidden="false" customHeight="false" outlineLevel="0" collapsed="false">
      <c r="B343" s="1" t="n">
        <v>45587</v>
      </c>
      <c r="C343" s="2" t="n">
        <f aca="false">16/60</f>
        <v>0.266666666666667</v>
      </c>
      <c r="D343" s="2" t="n">
        <f aca="false">31/60</f>
        <v>0.516666666666667</v>
      </c>
      <c r="E343" s="2" t="n">
        <f aca="false">28/60</f>
        <v>0.466666666666667</v>
      </c>
      <c r="G343" s="5" t="n">
        <f aca="false">SUM(C343:F343)</f>
        <v>1.25</v>
      </c>
      <c r="I343" s="10" t="s">
        <v>330</v>
      </c>
    </row>
    <row r="344" customFormat="false" ht="12.8" hidden="false" customHeight="false" outlineLevel="0" collapsed="false">
      <c r="B344" s="1" t="n">
        <v>45590</v>
      </c>
      <c r="C344" s="2" t="n">
        <f aca="false">20/60</f>
        <v>0.333333333333333</v>
      </c>
      <c r="G344" s="5" t="n">
        <f aca="false">SUM(C344:F344)</f>
        <v>0.333333333333333</v>
      </c>
      <c r="I344" s="10" t="s">
        <v>331</v>
      </c>
    </row>
    <row r="345" customFormat="false" ht="12.8" hidden="false" customHeight="false" outlineLevel="0" collapsed="false">
      <c r="B345" s="1" t="n">
        <v>45591</v>
      </c>
      <c r="C345" s="2" t="n">
        <f aca="false">55/60</f>
        <v>0.916666666666667</v>
      </c>
      <c r="G345" s="5" t="n">
        <f aca="false">SUM(C345:F345)</f>
        <v>0.916666666666667</v>
      </c>
      <c r="I345" s="10" t="s">
        <v>332</v>
      </c>
    </row>
    <row r="346" customFormat="false" ht="12.8" hidden="false" customHeight="false" outlineLevel="0" collapsed="false">
      <c r="B346" s="1" t="n">
        <v>45592</v>
      </c>
      <c r="C346" s="2" t="n">
        <f aca="false">35/60</f>
        <v>0.583333333333333</v>
      </c>
      <c r="G346" s="5" t="n">
        <f aca="false">SUM(C346:F346)</f>
        <v>0.583333333333333</v>
      </c>
      <c r="I346" s="10" t="s">
        <v>333</v>
      </c>
    </row>
    <row r="347" customFormat="false" ht="12.8" hidden="false" customHeight="false" outlineLevel="0" collapsed="false">
      <c r="B347" s="1" t="n">
        <v>45593</v>
      </c>
      <c r="C347" s="2" t="n">
        <f aca="false">18/60</f>
        <v>0.3</v>
      </c>
      <c r="D347" s="2" t="n">
        <f aca="false">45/60</f>
        <v>0.75</v>
      </c>
      <c r="G347" s="5" t="n">
        <f aca="false">SUM(C347:F347)</f>
        <v>1.05</v>
      </c>
      <c r="I347" s="10" t="s">
        <v>334</v>
      </c>
    </row>
    <row r="348" customFormat="false" ht="23.45" hidden="false" customHeight="false" outlineLevel="0" collapsed="false">
      <c r="B348" s="1" t="n">
        <v>45594</v>
      </c>
      <c r="C348" s="2" t="n">
        <f aca="false">45/60</f>
        <v>0.75</v>
      </c>
      <c r="D348" s="2" t="n">
        <f aca="false">24/60</f>
        <v>0.4</v>
      </c>
      <c r="G348" s="5" t="n">
        <f aca="false">SUM(C348:F348)</f>
        <v>1.15</v>
      </c>
      <c r="I348" s="10" t="s">
        <v>335</v>
      </c>
    </row>
    <row r="349" customFormat="false" ht="12.8" hidden="false" customHeight="false" outlineLevel="0" collapsed="false">
      <c r="B349" s="1" t="n">
        <v>45596</v>
      </c>
      <c r="C349" s="2" t="n">
        <f aca="false">15/60</f>
        <v>0.25</v>
      </c>
      <c r="G349" s="5" t="n">
        <f aca="false">SUM(C349:F349)</f>
        <v>0.25</v>
      </c>
      <c r="I349" s="10" t="s">
        <v>336</v>
      </c>
    </row>
    <row r="350" customFormat="false" ht="12.8" hidden="false" customHeight="false" outlineLevel="0" collapsed="false">
      <c r="B350" s="1" t="n">
        <v>45599</v>
      </c>
      <c r="C350" s="2" t="n">
        <f aca="false">46/60</f>
        <v>0.766666666666667</v>
      </c>
      <c r="G350" s="5" t="n">
        <f aca="false">SUM(C350:F350)</f>
        <v>0.766666666666667</v>
      </c>
      <c r="I350" s="10" t="s">
        <v>337</v>
      </c>
    </row>
    <row r="351" customFormat="false" ht="12.8" hidden="false" customHeight="false" outlineLevel="0" collapsed="false">
      <c r="B351" s="1" t="n">
        <v>45600</v>
      </c>
      <c r="C351" s="2" t="n">
        <f aca="false">23/60</f>
        <v>0.383333333333333</v>
      </c>
      <c r="G351" s="5" t="n">
        <f aca="false">SUM(C351:F351)</f>
        <v>0.383333333333333</v>
      </c>
      <c r="I351" s="10" t="s">
        <v>338</v>
      </c>
    </row>
    <row r="352" customFormat="false" ht="12.8" hidden="false" customHeight="false" outlineLevel="0" collapsed="false">
      <c r="B352" s="1" t="n">
        <v>45625</v>
      </c>
      <c r="C352" s="2" t="n">
        <v>3.5</v>
      </c>
      <c r="G352" s="5" t="n">
        <f aca="false">SUM(C352:F352)</f>
        <v>3.5</v>
      </c>
      <c r="I352" s="10" t="s">
        <v>339</v>
      </c>
    </row>
    <row r="353" customFormat="false" ht="12.8" hidden="false" customHeight="false" outlineLevel="0" collapsed="false">
      <c r="B353" s="1" t="n">
        <v>45632</v>
      </c>
      <c r="C353" s="2" t="n">
        <f aca="false">10/60</f>
        <v>0.166666666666667</v>
      </c>
      <c r="D353" s="2" t="n">
        <f aca="false">18/60</f>
        <v>0.3</v>
      </c>
      <c r="G353" s="5" t="n">
        <f aca="false">SUM(C353:F353)</f>
        <v>0.466666666666667</v>
      </c>
      <c r="I353" s="10" t="s">
        <v>340</v>
      </c>
    </row>
    <row r="354" customFormat="false" ht="23.8" hidden="false" customHeight="false" outlineLevel="0" collapsed="false">
      <c r="B354" s="1" t="n">
        <v>45633</v>
      </c>
      <c r="C354" s="2" t="n">
        <f aca="false">45/60</f>
        <v>0.75</v>
      </c>
      <c r="D354" s="2" t="n">
        <v>2.1</v>
      </c>
      <c r="G354" s="5" t="n">
        <f aca="false">SUM(C354:F354)</f>
        <v>2.85</v>
      </c>
      <c r="I354" s="10" t="s">
        <v>341</v>
      </c>
    </row>
    <row r="355" customFormat="false" ht="23.8" hidden="false" customHeight="false" outlineLevel="0" collapsed="false">
      <c r="B355" s="1" t="n">
        <v>45633</v>
      </c>
      <c r="C355" s="2" t="n">
        <f aca="false">1.5</f>
        <v>1.5</v>
      </c>
      <c r="G355" s="5" t="n">
        <f aca="false">SUM(C355:F355)</f>
        <v>1.5</v>
      </c>
      <c r="I355" s="10" t="s">
        <v>342</v>
      </c>
    </row>
    <row r="356" customFormat="false" ht="12.8" hidden="false" customHeight="false" outlineLevel="0" collapsed="false">
      <c r="B356" s="1" t="n">
        <v>45634</v>
      </c>
      <c r="C356" s="2" t="n">
        <f aca="false">40/60</f>
        <v>0.666666666666667</v>
      </c>
      <c r="G356" s="5" t="n">
        <f aca="false">SUM(C356:F356)</f>
        <v>0.666666666666667</v>
      </c>
      <c r="I356" s="10" t="s">
        <v>343</v>
      </c>
    </row>
    <row r="357" customFormat="false" ht="12.8" hidden="false" customHeight="false" outlineLevel="0" collapsed="false">
      <c r="B357" s="1" t="n">
        <v>45637</v>
      </c>
      <c r="C357" s="2" t="n">
        <f aca="false">35/60</f>
        <v>0.583333333333333</v>
      </c>
      <c r="G357" s="5" t="n">
        <f aca="false">SUM(C357:F357)</f>
        <v>0.583333333333333</v>
      </c>
      <c r="I357" s="10" t="s">
        <v>344</v>
      </c>
    </row>
    <row r="358" customFormat="false" ht="23.45" hidden="false" customHeight="false" outlineLevel="0" collapsed="false">
      <c r="B358" s="1" t="n">
        <v>45642</v>
      </c>
      <c r="C358" s="2" t="n">
        <f aca="false">10/60</f>
        <v>0.166666666666667</v>
      </c>
      <c r="D358" s="2" t="n">
        <f aca="false">6/12</f>
        <v>0.5</v>
      </c>
      <c r="G358" s="5" t="n">
        <f aca="false">SUM(C358:F358)</f>
        <v>0.666666666666667</v>
      </c>
      <c r="I358" s="13" t="s">
        <v>345</v>
      </c>
    </row>
    <row r="359" customFormat="false" ht="12.8" hidden="false" customHeight="false" outlineLevel="0" collapsed="false">
      <c r="B359" s="1" t="n">
        <v>45643</v>
      </c>
      <c r="C359" s="2" t="n">
        <v>1.25</v>
      </c>
      <c r="G359" s="5" t="n">
        <f aca="false">SUM(C359:F359)</f>
        <v>1.25</v>
      </c>
      <c r="I359" s="10" t="s">
        <v>346</v>
      </c>
    </row>
    <row r="360" customFormat="false" ht="23.45" hidden="false" customHeight="false" outlineLevel="0" collapsed="false">
      <c r="B360" s="1" t="n">
        <v>45648</v>
      </c>
      <c r="C360" s="2" t="n">
        <f aca="false">24/60</f>
        <v>0.4</v>
      </c>
      <c r="D360" s="2" t="n">
        <f aca="false">32/60</f>
        <v>0.533333333333333</v>
      </c>
      <c r="G360" s="5" t="n">
        <f aca="false">SUM(C360:F360)</f>
        <v>0.933333333333333</v>
      </c>
      <c r="I360" s="10" t="s">
        <v>347</v>
      </c>
    </row>
    <row r="361" customFormat="false" ht="210" hidden="false" customHeight="false" outlineLevel="0" collapsed="false">
      <c r="B361" s="1" t="n">
        <v>45648</v>
      </c>
      <c r="C361" s="2" t="n">
        <v>1.5</v>
      </c>
      <c r="G361" s="5" t="n">
        <f aca="false">SUM(C361:F361)</f>
        <v>1.5</v>
      </c>
      <c r="I361" s="10" t="s">
        <v>348</v>
      </c>
    </row>
    <row r="362" customFormat="false" ht="23.45" hidden="false" customHeight="false" outlineLevel="0" collapsed="false">
      <c r="B362" s="1" t="n">
        <v>45649</v>
      </c>
      <c r="C362" s="2" t="n">
        <f aca="false">20/60</f>
        <v>0.333333333333333</v>
      </c>
      <c r="D362" s="2" t="n">
        <f aca="false">95/60</f>
        <v>1.58333333333333</v>
      </c>
      <c r="G362" s="5" t="n">
        <f aca="false">SUM(C362:F362)</f>
        <v>1.91666666666667</v>
      </c>
      <c r="I362" s="10" t="s">
        <v>349</v>
      </c>
    </row>
    <row r="363" customFormat="false" ht="45.5" hidden="false" customHeight="false" outlineLevel="0" collapsed="false">
      <c r="B363" s="1" t="n">
        <v>45650</v>
      </c>
      <c r="C363" s="2" t="n">
        <f aca="false">12/60</f>
        <v>0.2</v>
      </c>
      <c r="G363" s="5" t="n">
        <f aca="false">SUM(C363:F363)</f>
        <v>0.2</v>
      </c>
      <c r="I363" s="10" t="s">
        <v>350</v>
      </c>
    </row>
    <row r="364" customFormat="false" ht="12.8" hidden="false" customHeight="false" outlineLevel="0" collapsed="false">
      <c r="B364" s="1" t="n">
        <v>45659</v>
      </c>
      <c r="C364" s="2" t="n">
        <f aca="false">25/60</f>
        <v>0.416666666666667</v>
      </c>
      <c r="G364" s="5" t="n">
        <f aca="false">SUM(C364:F364)</f>
        <v>0.416666666666667</v>
      </c>
      <c r="I364" s="10" t="s">
        <v>351</v>
      </c>
    </row>
    <row r="365" customFormat="false" ht="12.8" hidden="false" customHeight="false" outlineLevel="0" collapsed="false">
      <c r="B365" s="1" t="n">
        <v>45660</v>
      </c>
      <c r="C365" s="2" t="n">
        <f aca="false">85/60</f>
        <v>1.41666666666667</v>
      </c>
      <c r="G365" s="5" t="n">
        <f aca="false">SUM(C365:F365)</f>
        <v>1.41666666666667</v>
      </c>
      <c r="I365" s="10" t="s">
        <v>352</v>
      </c>
    </row>
    <row r="366" customFormat="false" ht="12.8" hidden="false" customHeight="false" outlineLevel="0" collapsed="false">
      <c r="B366" s="1" t="n">
        <v>45661</v>
      </c>
      <c r="C366" s="2" t="n">
        <f aca="false">75/60</f>
        <v>1.25</v>
      </c>
      <c r="G366" s="5" t="n">
        <f aca="false">SUM(C366:F366)</f>
        <v>1.25</v>
      </c>
      <c r="I366" s="10" t="s">
        <v>353</v>
      </c>
    </row>
    <row r="367" customFormat="false" ht="34.5" hidden="false" customHeight="false" outlineLevel="0" collapsed="false">
      <c r="B367" s="1" t="n">
        <v>45662</v>
      </c>
      <c r="C367" s="2" t="n">
        <f aca="false">13/60</f>
        <v>0.216666666666667</v>
      </c>
      <c r="D367" s="2" t="n">
        <f aca="false">45/60</f>
        <v>0.75</v>
      </c>
      <c r="G367" s="5" t="n">
        <f aca="false">SUM(C367:F367)</f>
        <v>0.966666666666667</v>
      </c>
      <c r="I367" s="10" t="s">
        <v>354</v>
      </c>
    </row>
    <row r="368" customFormat="false" ht="12.8" hidden="false" customHeight="false" outlineLevel="0" collapsed="false">
      <c r="B368" s="1" t="n">
        <v>45663</v>
      </c>
      <c r="C368" s="2" t="n">
        <f aca="false">35/60</f>
        <v>0.583333333333333</v>
      </c>
      <c r="G368" s="5" t="n">
        <f aca="false">SUM(C368:F368)</f>
        <v>0.583333333333333</v>
      </c>
      <c r="I368" s="10" t="s">
        <v>355</v>
      </c>
    </row>
    <row r="369" customFormat="false" ht="12.8" hidden="false" customHeight="false" outlineLevel="0" collapsed="false">
      <c r="B369" s="1" t="n">
        <v>45675</v>
      </c>
      <c r="C369" s="2" t="n">
        <f aca="false">70/60</f>
        <v>1.16666666666667</v>
      </c>
      <c r="G369" s="5" t="n">
        <f aca="false">SUM(C369:F369)</f>
        <v>1.16666666666667</v>
      </c>
      <c r="I369" s="10" t="s">
        <v>356</v>
      </c>
    </row>
    <row r="370" customFormat="false" ht="23.45" hidden="false" customHeight="false" outlineLevel="0" collapsed="false">
      <c r="B370" s="1" t="n">
        <v>45676</v>
      </c>
      <c r="C370" s="2" t="n">
        <f aca="false">19/60</f>
        <v>0.316666666666667</v>
      </c>
      <c r="D370" s="2" t="n">
        <f aca="false">48/60</f>
        <v>0.8</v>
      </c>
      <c r="G370" s="5" t="n">
        <f aca="false">SUM(C370:F370)</f>
        <v>1.11666666666667</v>
      </c>
      <c r="I370" s="10" t="s">
        <v>357</v>
      </c>
    </row>
    <row r="371" customFormat="false" ht="12.8" hidden="false" customHeight="false" outlineLevel="0" collapsed="false">
      <c r="B371" s="1" t="n">
        <v>45677</v>
      </c>
      <c r="C371" s="2" t="n">
        <f aca="false">35/60</f>
        <v>0.583333333333333</v>
      </c>
      <c r="G371" s="5" t="n">
        <f aca="false">SUM(C371:F371)</f>
        <v>0.583333333333333</v>
      </c>
      <c r="I371" s="10" t="s">
        <v>358</v>
      </c>
    </row>
    <row r="372" customFormat="false" ht="12.8" hidden="false" customHeight="false" outlineLevel="0" collapsed="false">
      <c r="B372" s="1" t="n">
        <v>45677</v>
      </c>
      <c r="C372" s="2" t="n">
        <f aca="false">35/60</f>
        <v>0.583333333333333</v>
      </c>
      <c r="D372" s="2" t="n">
        <f aca="false">40/60</f>
        <v>0.666666666666667</v>
      </c>
      <c r="G372" s="5" t="n">
        <f aca="false">SUM(C372:F372)</f>
        <v>1.25</v>
      </c>
      <c r="I372" s="10" t="s">
        <v>359</v>
      </c>
    </row>
    <row r="373" customFormat="false" ht="12.8" hidden="false" customHeight="false" outlineLevel="0" collapsed="false">
      <c r="B373" s="1" t="n">
        <v>45684</v>
      </c>
      <c r="C373" s="2" t="n">
        <f aca="false">10/60</f>
        <v>0.166666666666667</v>
      </c>
      <c r="D373" s="2" t="n">
        <f aca="false">30/60</f>
        <v>0.5</v>
      </c>
      <c r="G373" s="5" t="n">
        <f aca="false">SUM(C373:F373)</f>
        <v>0.666666666666667</v>
      </c>
      <c r="I373" s="10" t="s">
        <v>360</v>
      </c>
    </row>
    <row r="374" customFormat="false" ht="89.5" hidden="false" customHeight="false" outlineLevel="0" collapsed="false">
      <c r="B374" s="1" t="n">
        <v>45690</v>
      </c>
      <c r="C374" s="2" t="n">
        <f aca="false">25/60</f>
        <v>0.416666666666667</v>
      </c>
      <c r="G374" s="5" t="n">
        <f aca="false">SUM(C374:F374)</f>
        <v>0.416666666666667</v>
      </c>
      <c r="I374" s="10" t="s">
        <v>361</v>
      </c>
    </row>
    <row r="375" customFormat="false" ht="23.8" hidden="false" customHeight="false" outlineLevel="0" collapsed="false">
      <c r="B375" s="1" t="n">
        <v>45691</v>
      </c>
      <c r="C375" s="2" t="n">
        <f aca="false">45/60</f>
        <v>0.75</v>
      </c>
      <c r="G375" s="5" t="n">
        <f aca="false">SUM(C375:F375)</f>
        <v>0.75</v>
      </c>
      <c r="I375" s="10" t="s">
        <v>362</v>
      </c>
    </row>
    <row r="376" customFormat="false" ht="23.8" hidden="false" customHeight="false" outlineLevel="0" collapsed="false">
      <c r="B376" s="1" t="n">
        <v>45692</v>
      </c>
      <c r="C376" s="2" t="n">
        <f aca="false">70/60</f>
        <v>1.16666666666667</v>
      </c>
      <c r="G376" s="5" t="n">
        <f aca="false">SUM(C376:F376)</f>
        <v>1.16666666666667</v>
      </c>
      <c r="I376" s="10" t="s">
        <v>363</v>
      </c>
    </row>
    <row r="377" customFormat="false" ht="23.8" hidden="false" customHeight="false" outlineLevel="0" collapsed="false">
      <c r="B377" s="1" t="n">
        <v>45694</v>
      </c>
      <c r="C377" s="2" t="n">
        <f aca="false">35/60</f>
        <v>0.583333333333333</v>
      </c>
      <c r="G377" s="5" t="n">
        <f aca="false">SUM(C377:F377)</f>
        <v>0.583333333333333</v>
      </c>
      <c r="I377" s="10" t="s">
        <v>364</v>
      </c>
    </row>
    <row r="378" customFormat="false" ht="23.8" hidden="false" customHeight="false" outlineLevel="0" collapsed="false">
      <c r="B378" s="1" t="n">
        <v>45695</v>
      </c>
      <c r="C378" s="2" t="n">
        <f aca="false">45/60</f>
        <v>0.75</v>
      </c>
      <c r="G378" s="5" t="n">
        <f aca="false">SUM(C378:F378)</f>
        <v>0.75</v>
      </c>
      <c r="I378" s="10" t="s">
        <v>365</v>
      </c>
    </row>
    <row r="379" customFormat="false" ht="34.5" hidden="false" customHeight="false" outlineLevel="0" collapsed="false">
      <c r="B379" s="1" t="n">
        <v>45699</v>
      </c>
      <c r="C379" s="2" t="n">
        <f aca="false">75/60</f>
        <v>1.25</v>
      </c>
      <c r="D379" s="2" t="n">
        <f aca="false">45/60</f>
        <v>0.75</v>
      </c>
      <c r="G379" s="5" t="n">
        <f aca="false">SUM(C379:F379)</f>
        <v>2</v>
      </c>
      <c r="I379" s="10" t="s">
        <v>366</v>
      </c>
    </row>
    <row r="380" customFormat="false" ht="23.45" hidden="false" customHeight="false" outlineLevel="0" collapsed="false">
      <c r="B380" s="1" t="n">
        <v>45700</v>
      </c>
      <c r="C380" s="2" t="n">
        <f aca="false">54/60</f>
        <v>0.9</v>
      </c>
      <c r="D380" s="2" t="n">
        <f aca="false">22/60</f>
        <v>0.366666666666667</v>
      </c>
      <c r="G380" s="5" t="n">
        <f aca="false">SUM(C380:F380)</f>
        <v>1.26666666666667</v>
      </c>
      <c r="I380" s="10" t="s">
        <v>367</v>
      </c>
    </row>
    <row r="381" customFormat="false" ht="12.8" hidden="false" customHeight="false" outlineLevel="0" collapsed="false">
      <c r="B381" s="1" t="n">
        <v>45705</v>
      </c>
      <c r="C381" s="2" t="n">
        <f aca="false">35/60</f>
        <v>0.583333333333333</v>
      </c>
      <c r="G381" s="5" t="n">
        <f aca="false">SUM(C381:F381)</f>
        <v>0.583333333333333</v>
      </c>
      <c r="I381" s="10" t="s">
        <v>368</v>
      </c>
    </row>
    <row r="382" customFormat="false" ht="12.8" hidden="false" customHeight="false" outlineLevel="0" collapsed="false">
      <c r="B382" s="1" t="n">
        <v>45706</v>
      </c>
      <c r="C382" s="2" t="n">
        <f aca="false">20/60</f>
        <v>0.333333333333333</v>
      </c>
      <c r="G382" s="5" t="n">
        <f aca="false">SUM(C382:F382)</f>
        <v>0.333333333333333</v>
      </c>
      <c r="I382" s="10" t="s">
        <v>369</v>
      </c>
    </row>
    <row r="383" customFormat="false" ht="12.8" hidden="false" customHeight="false" outlineLevel="0" collapsed="false">
      <c r="B383" s="1" t="n">
        <v>45707</v>
      </c>
      <c r="C383" s="2" t="n">
        <f aca="false">25/60</f>
        <v>0.416666666666667</v>
      </c>
      <c r="G383" s="5" t="n">
        <f aca="false">SUM(C383:F383)</f>
        <v>0.416666666666667</v>
      </c>
      <c r="I383" s="10" t="s">
        <v>370</v>
      </c>
    </row>
    <row r="384" customFormat="false" ht="23.45" hidden="false" customHeight="false" outlineLevel="0" collapsed="false">
      <c r="B384" s="1" t="n">
        <v>45709</v>
      </c>
      <c r="C384" s="15" t="n">
        <f aca="false">36/60</f>
        <v>0.6</v>
      </c>
      <c r="D384" s="15"/>
      <c r="G384" s="5" t="n">
        <f aca="false">SUM(C384:F384)</f>
        <v>0.6</v>
      </c>
      <c r="I384" s="10" t="s">
        <v>371</v>
      </c>
    </row>
    <row r="386" customFormat="false" ht="12.8" hidden="false" customHeight="false" outlineLevel="0" collapsed="false">
      <c r="G386" s="14" t="n">
        <f aca="false">SUM($G$338:G385)</f>
        <v>45.1833333333334</v>
      </c>
      <c r="I386" s="3" t="s">
        <v>372</v>
      </c>
    </row>
    <row r="388" customFormat="false" ht="34.5" hidden="false" customHeight="false" outlineLevel="0" collapsed="false">
      <c r="B388" s="1" t="n">
        <v>45710</v>
      </c>
      <c r="C388" s="15" t="n">
        <f aca="false">27/60</f>
        <v>0.45</v>
      </c>
      <c r="D388" s="2" t="n">
        <f aca="false">13/60</f>
        <v>0.216666666666667</v>
      </c>
      <c r="E388" s="2" t="n">
        <f aca="false">20/60</f>
        <v>0.333333333333333</v>
      </c>
      <c r="G388" s="5" t="n">
        <f aca="false">SUM(C388:F388)</f>
        <v>1</v>
      </c>
      <c r="I388" s="12" t="s">
        <v>373</v>
      </c>
    </row>
    <row r="389" customFormat="false" ht="12.8" hidden="false" customHeight="false" outlineLevel="0" collapsed="false">
      <c r="B389" s="1" t="n">
        <v>45728</v>
      </c>
      <c r="C389" s="2" t="n">
        <f aca="false">45/60</f>
        <v>0.75</v>
      </c>
      <c r="G389" s="5" t="n">
        <f aca="false">SUM(C389:F389)</f>
        <v>0.75</v>
      </c>
      <c r="I389" s="12" t="s">
        <v>374</v>
      </c>
    </row>
    <row r="390" customFormat="false" ht="12.8" hidden="false" customHeight="false" outlineLevel="0" collapsed="false">
      <c r="B390" s="1" t="n">
        <v>45730</v>
      </c>
      <c r="C390" s="2" t="n">
        <f aca="false">35/60</f>
        <v>0.583333333333333</v>
      </c>
      <c r="G390" s="5" t="n">
        <f aca="false">SUM(C390:F390)</f>
        <v>0.583333333333333</v>
      </c>
      <c r="I390" s="12" t="s">
        <v>375</v>
      </c>
    </row>
    <row r="391" customFormat="false" ht="23.45" hidden="false" customHeight="false" outlineLevel="0" collapsed="false">
      <c r="B391" s="1" t="n">
        <v>45731</v>
      </c>
      <c r="C391" s="2" t="n">
        <f aca="false">70/60</f>
        <v>1.16666666666667</v>
      </c>
      <c r="D391" s="2" t="n">
        <f aca="false">10/60</f>
        <v>0.166666666666667</v>
      </c>
      <c r="G391" s="5" t="n">
        <f aca="false">SUM(C391:F391)</f>
        <v>1.33333333333333</v>
      </c>
      <c r="I391" s="10" t="s">
        <v>376</v>
      </c>
    </row>
    <row r="392" customFormat="false" ht="12.8" hidden="false" customHeight="false" outlineLevel="0" collapsed="false">
      <c r="B392" s="1" t="n">
        <v>45749</v>
      </c>
      <c r="C392" s="2" t="n">
        <f aca="false">45/60</f>
        <v>0.75</v>
      </c>
      <c r="D392" s="2" t="n">
        <f aca="false">40/60</f>
        <v>0.666666666666667</v>
      </c>
      <c r="G392" s="5" t="n">
        <f aca="false">SUM(C392:F392)</f>
        <v>1.41666666666667</v>
      </c>
      <c r="I392" s="10" t="s">
        <v>377</v>
      </c>
    </row>
    <row r="393" customFormat="false" ht="12.8" hidden="false" customHeight="true" outlineLevel="0" collapsed="false">
      <c r="B393" s="1" t="n">
        <v>45756</v>
      </c>
      <c r="C393" s="2" t="n">
        <f aca="false">55/60</f>
        <v>0.916666666666667</v>
      </c>
      <c r="G393" s="5" t="n">
        <f aca="false">SUM(C393:F393)</f>
        <v>0.916666666666667</v>
      </c>
      <c r="I393" s="3" t="s">
        <v>378</v>
      </c>
    </row>
    <row r="394" customFormat="false" ht="12.8" hidden="false" customHeight="true" outlineLevel="0" collapsed="false">
      <c r="B394" s="1" t="n">
        <v>45729</v>
      </c>
      <c r="C394" s="2" t="n">
        <f aca="false">20/60</f>
        <v>0.333333333333333</v>
      </c>
      <c r="G394" s="5" t="n">
        <f aca="false">SUM(C394:F394)</f>
        <v>0.333333333333333</v>
      </c>
      <c r="I394" s="3" t="s">
        <v>379</v>
      </c>
    </row>
    <row r="395" customFormat="false" ht="12.8" hidden="false" customHeight="true" outlineLevel="0" collapsed="false">
      <c r="B395" s="1" t="n">
        <v>45730</v>
      </c>
      <c r="C395" s="2" t="n">
        <f aca="false">25/60</f>
        <v>0.416666666666667</v>
      </c>
      <c r="G395" s="5" t="n">
        <f aca="false">SUM(C395:F395)</f>
        <v>0.416666666666667</v>
      </c>
      <c r="I395" s="3" t="s">
        <v>380</v>
      </c>
    </row>
    <row r="396" customFormat="false" ht="12.8" hidden="false" customHeight="true" outlineLevel="0" collapsed="false">
      <c r="B396" s="1" t="n">
        <v>45763</v>
      </c>
      <c r="C396" s="2" t="n">
        <f aca="false">10/60</f>
        <v>0.166666666666667</v>
      </c>
      <c r="G396" s="5" t="n">
        <f aca="false">SUM(C396:F396)</f>
        <v>0.166666666666667</v>
      </c>
      <c r="I396" s="3" t="s">
        <v>381</v>
      </c>
    </row>
    <row r="397" customFormat="false" ht="12.8" hidden="false" customHeight="true" outlineLevel="0" collapsed="false">
      <c r="B397" s="1" t="n">
        <v>45768</v>
      </c>
      <c r="C397" s="2" t="n">
        <f aca="false">18/60</f>
        <v>0.3</v>
      </c>
      <c r="G397" s="5" t="n">
        <f aca="false">SUM(C397:F397)</f>
        <v>0.3</v>
      </c>
      <c r="I397" s="3" t="s">
        <v>382</v>
      </c>
    </row>
    <row r="398" customFormat="false" ht="23.45" hidden="false" customHeight="false" outlineLevel="0" collapsed="false">
      <c r="B398" s="1" t="n">
        <v>45805</v>
      </c>
      <c r="C398" s="2" t="n">
        <f aca="false">15/60</f>
        <v>0.25</v>
      </c>
      <c r="D398" s="2" t="n">
        <f aca="false">10/60</f>
        <v>0.166666666666667</v>
      </c>
      <c r="G398" s="5" t="n">
        <f aca="false">SUM(C398:F398)</f>
        <v>0.416666666666667</v>
      </c>
      <c r="I398" s="3" t="s">
        <v>383</v>
      </c>
    </row>
    <row r="399" customFormat="false" ht="144.25" hidden="false" customHeight="false" outlineLevel="0" collapsed="false">
      <c r="B399" s="1" t="n">
        <v>45811</v>
      </c>
      <c r="C399" s="2" t="n">
        <f aca="false">55/60</f>
        <v>0.916666666666667</v>
      </c>
      <c r="D399" s="2" t="n">
        <f aca="false">130/60</f>
        <v>2.16666666666667</v>
      </c>
      <c r="E399" s="2" t="n">
        <f aca="false">10/60</f>
        <v>0.166666666666667</v>
      </c>
      <c r="F399" s="2" t="n">
        <f aca="false">12/60</f>
        <v>0.2</v>
      </c>
      <c r="G399" s="5" t="n">
        <f aca="false">SUM(C399:F399)</f>
        <v>3.45</v>
      </c>
      <c r="I399" s="3" t="s">
        <v>384</v>
      </c>
    </row>
    <row r="400" customFormat="false" ht="12.8" hidden="false" customHeight="false" outlineLevel="0" collapsed="false">
      <c r="B400" s="1" t="n">
        <v>45818</v>
      </c>
      <c r="C400" s="2" t="n">
        <f aca="false">10/60</f>
        <v>0.166666666666667</v>
      </c>
      <c r="G400" s="5" t="n">
        <f aca="false">SUM(C400:F400)</f>
        <v>0.166666666666667</v>
      </c>
      <c r="I400" s="3" t="s">
        <v>385</v>
      </c>
    </row>
    <row r="401" customFormat="false" ht="12.8" hidden="false" customHeight="false" outlineLevel="0" collapsed="false">
      <c r="B401" s="1" t="n">
        <v>45819</v>
      </c>
      <c r="C401" s="2" t="n">
        <f aca="false">7/60</f>
        <v>0.116666666666667</v>
      </c>
      <c r="G401" s="5" t="n">
        <f aca="false">SUM(C401:F401)</f>
        <v>0.116666666666667</v>
      </c>
      <c r="I401" s="3" t="s">
        <v>386</v>
      </c>
    </row>
    <row r="402" customFormat="false" ht="23.45" hidden="false" customHeight="false" outlineLevel="0" collapsed="false">
      <c r="B402" s="1" t="n">
        <v>45822</v>
      </c>
      <c r="C402" s="2" t="n">
        <f aca="false">25/60</f>
        <v>0.416666666666667</v>
      </c>
      <c r="D402" s="2" t="n">
        <f aca="false">20/60</f>
        <v>0.333333333333333</v>
      </c>
      <c r="G402" s="5" t="n">
        <f aca="false">SUM(C402:F402)</f>
        <v>0.75</v>
      </c>
      <c r="I402" s="3" t="s">
        <v>387</v>
      </c>
    </row>
    <row r="403" customFormat="false" ht="34.5" hidden="false" customHeight="false" outlineLevel="0" collapsed="false">
      <c r="B403" s="1" t="n">
        <v>45831</v>
      </c>
      <c r="C403" s="2" t="n">
        <f aca="false">55/60</f>
        <v>0.916666666666667</v>
      </c>
      <c r="D403" s="2" t="n">
        <f aca="false">32/60</f>
        <v>0.533333333333333</v>
      </c>
      <c r="G403" s="5" t="n">
        <f aca="false">SUM(C403:F403)</f>
        <v>1.45</v>
      </c>
      <c r="I403" s="3" t="s">
        <v>388</v>
      </c>
    </row>
    <row r="404" customFormat="false" ht="34.5" hidden="false" customHeight="false" outlineLevel="0" collapsed="false">
      <c r="B404" s="1" t="n">
        <v>45853</v>
      </c>
      <c r="C404" s="2" t="n">
        <f aca="false">35/60</f>
        <v>0.583333333333333</v>
      </c>
      <c r="D404" s="2" t="n">
        <f aca="false">45/60</f>
        <v>0.75</v>
      </c>
      <c r="E404" s="2" t="n">
        <f aca="false">35/60</f>
        <v>0.583333333333333</v>
      </c>
      <c r="F404" s="2" t="n">
        <f aca="false">40/60</f>
        <v>0.666666666666667</v>
      </c>
      <c r="G404" s="5" t="n">
        <f aca="false">SUM(C404:F404)</f>
        <v>2.58333333333333</v>
      </c>
      <c r="I404" s="3" t="s">
        <v>389</v>
      </c>
    </row>
    <row r="405" customFormat="false" ht="12.8" hidden="false" customHeight="false" outlineLevel="0" collapsed="false">
      <c r="B405" s="1" t="n">
        <v>45857</v>
      </c>
      <c r="C405" s="2" t="n">
        <f aca="false">35/60</f>
        <v>0.583333333333333</v>
      </c>
      <c r="G405" s="5" t="n">
        <f aca="false">SUM(C405:F405)</f>
        <v>0.583333333333333</v>
      </c>
      <c r="I405" s="12" t="s">
        <v>390</v>
      </c>
    </row>
    <row r="406" customFormat="false" ht="23.45" hidden="false" customHeight="false" outlineLevel="0" collapsed="false">
      <c r="B406" s="1" t="n">
        <v>45858</v>
      </c>
      <c r="C406" s="2" t="n">
        <f aca="false">20/60</f>
        <v>0.333333333333333</v>
      </c>
      <c r="D406" s="2" t="n">
        <f aca="false">30/60</f>
        <v>0.5</v>
      </c>
      <c r="G406" s="5" t="n">
        <f aca="false">SUM(C406:F406)</f>
        <v>0.833333333333333</v>
      </c>
      <c r="I406" s="12" t="s">
        <v>391</v>
      </c>
    </row>
    <row r="407" customFormat="false" ht="23.45" hidden="false" customHeight="false" outlineLevel="0" collapsed="false">
      <c r="B407" s="1" t="n">
        <v>45859</v>
      </c>
      <c r="C407" s="2" t="n">
        <f aca="false">35/60</f>
        <v>0.583333333333333</v>
      </c>
      <c r="D407" s="2" t="n">
        <f aca="false">25/60</f>
        <v>0.416666666666667</v>
      </c>
      <c r="G407" s="5" t="n">
        <f aca="false">SUM(C407:F407)</f>
        <v>1</v>
      </c>
      <c r="I407" s="12" t="s">
        <v>392</v>
      </c>
    </row>
    <row r="408" customFormat="false" ht="23.45" hidden="false" customHeight="false" outlineLevel="0" collapsed="false">
      <c r="B408" s="1" t="n">
        <v>45860</v>
      </c>
      <c r="C408" s="2" t="n">
        <f aca="false">40/60</f>
        <v>0.666666666666667</v>
      </c>
      <c r="D408" s="2" t="n">
        <f aca="false">15/60</f>
        <v>0.25</v>
      </c>
      <c r="G408" s="5" t="n">
        <f aca="false">SUM(C408:F408)</f>
        <v>0.916666666666667</v>
      </c>
      <c r="I408" s="12" t="s">
        <v>393</v>
      </c>
    </row>
    <row r="409" customFormat="false" ht="23.45" hidden="false" customHeight="false" outlineLevel="0" collapsed="false">
      <c r="B409" s="1" t="n">
        <v>45861</v>
      </c>
      <c r="C409" s="2" t="n">
        <f aca="false">50/60</f>
        <v>0.833333333333333</v>
      </c>
      <c r="D409" s="2" t="n">
        <f aca="false">15/60</f>
        <v>0.25</v>
      </c>
      <c r="G409" s="5" t="n">
        <f aca="false">SUM(C409:F409)</f>
        <v>1.08333333333333</v>
      </c>
      <c r="I409" s="12" t="s">
        <v>394</v>
      </c>
    </row>
    <row r="410" customFormat="false" ht="23.45" hidden="false" customHeight="false" outlineLevel="0" collapsed="false">
      <c r="B410" s="1" t="n">
        <v>45862</v>
      </c>
      <c r="C410" s="2" t="n">
        <f aca="false">55/60</f>
        <v>0.916666666666667</v>
      </c>
      <c r="D410" s="2" t="n">
        <f aca="false">20/60</f>
        <v>0.333333333333333</v>
      </c>
      <c r="G410" s="5" t="n">
        <f aca="false">SUM(C410:F410)</f>
        <v>1.25</v>
      </c>
      <c r="I410" s="10" t="s">
        <v>395</v>
      </c>
    </row>
    <row r="411" customFormat="false" ht="23.45" hidden="false" customHeight="false" outlineLevel="0" collapsed="false">
      <c r="B411" s="1" t="n">
        <v>45863</v>
      </c>
      <c r="C411" s="2" t="n">
        <f aca="false">55/60</f>
        <v>0.916666666666667</v>
      </c>
      <c r="D411" s="2" t="n">
        <f aca="false">35/60</f>
        <v>0.583333333333333</v>
      </c>
      <c r="E411" s="2" t="n">
        <f aca="false">10/60</f>
        <v>0.166666666666667</v>
      </c>
      <c r="G411" s="5" t="n">
        <f aca="false">SUM(C411:F411)</f>
        <v>1.66666666666667</v>
      </c>
      <c r="I411" s="12" t="s">
        <v>396</v>
      </c>
    </row>
    <row r="412" customFormat="false" ht="12.8" hidden="false" customHeight="false" outlineLevel="0" collapsed="false">
      <c r="B412" s="1" t="n">
        <v>45864</v>
      </c>
      <c r="C412" s="2" t="n">
        <f aca="false">35/60</f>
        <v>0.583333333333333</v>
      </c>
      <c r="G412" s="5" t="n">
        <f aca="false">SUM(C412:F412)</f>
        <v>0.583333333333333</v>
      </c>
      <c r="I412" s="12" t="s">
        <v>397</v>
      </c>
    </row>
    <row r="413" customFormat="false" ht="34.5" hidden="false" customHeight="false" outlineLevel="0" collapsed="false">
      <c r="B413" s="1" t="n">
        <v>45866</v>
      </c>
      <c r="C413" s="2" t="n">
        <f aca="false">12/60</f>
        <v>0.2</v>
      </c>
      <c r="D413" s="2" t="n">
        <f aca="false">65/60</f>
        <v>1.08333333333333</v>
      </c>
      <c r="E413" s="2" t="n">
        <f aca="false">12/60</f>
        <v>0.2</v>
      </c>
      <c r="G413" s="5" t="n">
        <f aca="false">SUM(C413:F413)</f>
        <v>1.48333333333333</v>
      </c>
      <c r="I413" s="10" t="s">
        <v>398</v>
      </c>
    </row>
    <row r="414" customFormat="false" ht="12.8" hidden="false" customHeight="false" outlineLevel="0" collapsed="false">
      <c r="B414" s="1" t="n">
        <v>45867</v>
      </c>
      <c r="C414" s="2" t="n">
        <f aca="false">10/60</f>
        <v>0.166666666666667</v>
      </c>
      <c r="G414" s="5" t="n">
        <f aca="false">SUM(C414:F414)</f>
        <v>0.166666666666667</v>
      </c>
      <c r="I414" s="10" t="s">
        <v>399</v>
      </c>
    </row>
    <row r="415" customFormat="false" ht="45.5" hidden="false" customHeight="false" outlineLevel="0" collapsed="false">
      <c r="B415" s="1" t="n">
        <v>45868</v>
      </c>
      <c r="C415" s="2" t="n">
        <f aca="false">20/60</f>
        <v>0.333333333333333</v>
      </c>
      <c r="D415" s="2" t="n">
        <f aca="false">20/60</f>
        <v>0.333333333333333</v>
      </c>
      <c r="G415" s="5" t="n">
        <f aca="false">SUM(C415:F415)</f>
        <v>0.666666666666667</v>
      </c>
      <c r="I415" s="10" t="s">
        <v>400</v>
      </c>
    </row>
    <row r="416" customFormat="false" ht="12.8" hidden="false" customHeight="false" outlineLevel="0" collapsed="false">
      <c r="B416" s="1" t="n">
        <v>45868</v>
      </c>
      <c r="C416" s="2" t="n">
        <f aca="false">25/60</f>
        <v>0.416666666666667</v>
      </c>
      <c r="G416" s="5" t="n">
        <f aca="false">SUM(C416:F416)</f>
        <v>0.416666666666667</v>
      </c>
      <c r="I416" s="10" t="s">
        <v>401</v>
      </c>
    </row>
    <row r="417" customFormat="false" ht="34.5" hidden="false" customHeight="false" outlineLevel="0" collapsed="false">
      <c r="B417" s="1" t="n">
        <v>45871</v>
      </c>
      <c r="C417" s="2" t="n">
        <f aca="false">45/60</f>
        <v>0.75</v>
      </c>
      <c r="D417" s="2" t="n">
        <f aca="false">10/60</f>
        <v>0.166666666666667</v>
      </c>
      <c r="E417" s="2" t="n">
        <f aca="false">20/60</f>
        <v>0.333333333333333</v>
      </c>
      <c r="G417" s="5" t="n">
        <f aca="false">SUM(C417:F417)</f>
        <v>1.25</v>
      </c>
      <c r="I417" s="10" t="s">
        <v>402</v>
      </c>
    </row>
    <row r="418" customFormat="false" ht="45.5" hidden="false" customHeight="false" outlineLevel="0" collapsed="false">
      <c r="B418" s="1" t="n">
        <v>45872</v>
      </c>
      <c r="C418" s="2" t="n">
        <f aca="false">25/60</f>
        <v>0.416666666666667</v>
      </c>
      <c r="D418" s="2" t="n">
        <f aca="false">20/60</f>
        <v>0.333333333333333</v>
      </c>
      <c r="E418" s="2" t="n">
        <f aca="false">8/60</f>
        <v>0.133333333333333</v>
      </c>
      <c r="F418" s="2" t="n">
        <f aca="false">18/60</f>
        <v>0.3</v>
      </c>
      <c r="G418" s="5" t="n">
        <f aca="false">SUM(C418:F418)</f>
        <v>1.18333333333333</v>
      </c>
      <c r="I418" s="10" t="s">
        <v>403</v>
      </c>
    </row>
    <row r="419" customFormat="false" ht="45.5" hidden="false" customHeight="false" outlineLevel="0" collapsed="false">
      <c r="B419" s="1" t="n">
        <v>45872</v>
      </c>
      <c r="C419" s="2" t="n">
        <f aca="false">50/60</f>
        <v>0.833333333333333</v>
      </c>
      <c r="D419" s="2" t="n">
        <f aca="false">25/60</f>
        <v>0.416666666666667</v>
      </c>
      <c r="E419" s="2" t="n">
        <f aca="false">35/60</f>
        <v>0.583333333333333</v>
      </c>
      <c r="F419" s="2" t="n">
        <f aca="false">5/60</f>
        <v>0.0833333333333333</v>
      </c>
      <c r="G419" s="5" t="n">
        <f aca="false">SUM(C419:F419)</f>
        <v>1.91666666666667</v>
      </c>
      <c r="I419" s="10" t="s">
        <v>404</v>
      </c>
    </row>
    <row r="420" customFormat="false" ht="45.5" hidden="false" customHeight="false" outlineLevel="0" collapsed="false">
      <c r="B420" s="1" t="n">
        <v>45873</v>
      </c>
      <c r="C420" s="2" t="n">
        <f aca="false">15/60</f>
        <v>0.25</v>
      </c>
      <c r="D420" s="2" t="n">
        <f aca="false">35/60</f>
        <v>0.583333333333333</v>
      </c>
      <c r="E420" s="2" t="n">
        <f aca="false">25/60</f>
        <v>0.416666666666667</v>
      </c>
      <c r="F420" s="2" t="n">
        <f aca="false">15/60</f>
        <v>0.25</v>
      </c>
      <c r="G420" s="5" t="n">
        <f aca="false">SUM(C420:F420)</f>
        <v>1.5</v>
      </c>
      <c r="I420" s="10" t="s">
        <v>405</v>
      </c>
    </row>
    <row r="421" customFormat="false" ht="89.5" hidden="false" customHeight="false" outlineLevel="0" collapsed="false">
      <c r="B421" s="1" t="n">
        <v>45877</v>
      </c>
      <c r="C421" s="2" t="n">
        <f aca="false">45/60</f>
        <v>0.75</v>
      </c>
      <c r="D421" s="2" t="n">
        <f aca="false">75/60</f>
        <v>1.25</v>
      </c>
      <c r="E421" s="2" t="n">
        <f aca="false">30/60</f>
        <v>0.5</v>
      </c>
      <c r="F421" s="2" t="n">
        <f aca="false">25/60</f>
        <v>0.416666666666667</v>
      </c>
      <c r="G421" s="5" t="n">
        <f aca="false">SUM(C421:F421)</f>
        <v>2.91666666666667</v>
      </c>
      <c r="I421" s="10" t="s">
        <v>406</v>
      </c>
    </row>
    <row r="422" customFormat="false" ht="12.8" hidden="false" customHeight="false" outlineLevel="0" collapsed="false">
      <c r="B422" s="1" t="n">
        <v>45877</v>
      </c>
      <c r="C422" s="2" t="n">
        <f aca="false">18/60</f>
        <v>0.3</v>
      </c>
      <c r="G422" s="5" t="n">
        <f aca="false">SUM(C422:F422)</f>
        <v>0.3</v>
      </c>
      <c r="I422" s="10" t="s">
        <v>407</v>
      </c>
    </row>
    <row r="423" customFormat="false" ht="12.8" hidden="false" customHeight="false" outlineLevel="0" collapsed="false">
      <c r="B423" s="1" t="n">
        <v>45878</v>
      </c>
      <c r="C423" s="2" t="n">
        <f aca="false">25/60</f>
        <v>0.416666666666667</v>
      </c>
      <c r="G423" s="5" t="n">
        <f aca="false">SUM(C423:F423)</f>
        <v>0.416666666666667</v>
      </c>
      <c r="I423" s="10" t="s">
        <v>408</v>
      </c>
    </row>
    <row r="424" customFormat="false" ht="67.6" hidden="false" customHeight="false" outlineLevel="0" collapsed="false">
      <c r="B424" s="1" t="n">
        <v>45885</v>
      </c>
      <c r="C424" s="2" t="n">
        <f aca="false">35/60</f>
        <v>0.583333333333333</v>
      </c>
      <c r="D424" s="2" t="n">
        <f aca="false">45/60</f>
        <v>0.75</v>
      </c>
      <c r="G424" s="5" t="n">
        <f aca="false">SUM(C424:F424)</f>
        <v>1.33333333333333</v>
      </c>
      <c r="I424" s="10" t="s">
        <v>409</v>
      </c>
    </row>
    <row r="425" customFormat="false" ht="23.45" hidden="false" customHeight="false" outlineLevel="0" collapsed="false">
      <c r="B425" s="1" t="n">
        <v>45886</v>
      </c>
      <c r="C425" s="2" t="n">
        <f aca="false">20/60</f>
        <v>0.333333333333333</v>
      </c>
      <c r="G425" s="5" t="n">
        <f aca="false">SUM(C425:F425)</f>
        <v>0.333333333333333</v>
      </c>
      <c r="I425" s="10" t="s">
        <v>410</v>
      </c>
    </row>
    <row r="426" customFormat="false" ht="12.8" hidden="false" customHeight="false" outlineLevel="0" collapsed="false">
      <c r="B426" s="1" t="n">
        <v>45891</v>
      </c>
      <c r="C426" s="2" t="n">
        <f aca="false">25/60</f>
        <v>0.416666666666667</v>
      </c>
      <c r="G426" s="5" t="n">
        <f aca="false">SUM(C426:F426)</f>
        <v>0.416666666666667</v>
      </c>
      <c r="I426" s="10" t="s">
        <v>411</v>
      </c>
    </row>
    <row r="427" customFormat="false" ht="12.8" hidden="false" customHeight="false" outlineLevel="0" collapsed="false">
      <c r="B427" s="1" t="n">
        <v>45895</v>
      </c>
      <c r="C427" s="2" t="n">
        <f aca="false">10/60</f>
        <v>0.166666666666667</v>
      </c>
      <c r="D427" s="2" t="n">
        <f aca="false">7/60</f>
        <v>0.116666666666667</v>
      </c>
      <c r="G427" s="5" t="n">
        <f aca="false">SUM(C427:F427)</f>
        <v>0.283333333333333</v>
      </c>
      <c r="I427" s="10" t="s">
        <v>412</v>
      </c>
    </row>
    <row r="428" customFormat="false" ht="12.8" hidden="false" customHeight="false" outlineLevel="0" collapsed="false">
      <c r="B428" s="1" t="n">
        <v>45904</v>
      </c>
      <c r="C428" s="2" t="n">
        <f aca="false">55/60</f>
        <v>0.916666666666667</v>
      </c>
      <c r="G428" s="5" t="n">
        <f aca="false">SUM(C428:F428)</f>
        <v>0.916666666666667</v>
      </c>
      <c r="I428" s="10" t="s">
        <v>413</v>
      </c>
    </row>
    <row r="429" customFormat="false" ht="67.6" hidden="false" customHeight="false" outlineLevel="0" collapsed="false">
      <c r="B429" s="1" t="n">
        <v>45909</v>
      </c>
      <c r="C429" s="2" t="n">
        <f aca="false">45/60</f>
        <v>0.75</v>
      </c>
      <c r="G429" s="5" t="n">
        <f aca="false">SUM(C429:F429)</f>
        <v>0.75</v>
      </c>
      <c r="I429" s="10" t="s">
        <v>414</v>
      </c>
    </row>
    <row r="430" customFormat="false" ht="34.5" hidden="false" customHeight="false" outlineLevel="0" collapsed="false">
      <c r="B430" s="1" t="n">
        <v>45913</v>
      </c>
      <c r="C430" s="2" t="n">
        <f aca="false">35/60</f>
        <v>0.583333333333333</v>
      </c>
      <c r="G430" s="5" t="n">
        <f aca="false">SUM(C430:F430)</f>
        <v>0.583333333333333</v>
      </c>
      <c r="I430" s="10" t="s">
        <v>415</v>
      </c>
    </row>
    <row r="431" customFormat="false" ht="45.7" hidden="false" customHeight="false" outlineLevel="0" collapsed="false">
      <c r="B431" s="1" t="n">
        <v>45909</v>
      </c>
      <c r="C431" s="2" t="n">
        <f aca="false">15/60</f>
        <v>0.25</v>
      </c>
      <c r="D431" s="2" t="n">
        <f aca="false">35/60</f>
        <v>0.583333333333333</v>
      </c>
      <c r="E431" s="2" t="n">
        <f aca="false">18/60</f>
        <v>0.3</v>
      </c>
      <c r="G431" s="5" t="n">
        <f aca="false">SUM(C431:F431)</f>
        <v>1.13333333333333</v>
      </c>
      <c r="I431" s="10" t="s">
        <v>416</v>
      </c>
    </row>
    <row r="432" customFormat="false" ht="34.5" hidden="false" customHeight="false" outlineLevel="0" collapsed="false">
      <c r="B432" s="1" t="n">
        <v>45913</v>
      </c>
      <c r="C432" s="2" t="n">
        <f aca="false">25/60</f>
        <v>0.416666666666667</v>
      </c>
      <c r="D432" s="2" t="n">
        <f aca="false">13/60</f>
        <v>0.216666666666667</v>
      </c>
      <c r="G432" s="5" t="n">
        <f aca="false">SUM(C432:F432)</f>
        <v>0.633333333333333</v>
      </c>
      <c r="I432" s="10" t="s">
        <v>415</v>
      </c>
    </row>
    <row r="433" customFormat="false" ht="23.45" hidden="false" customHeight="false" outlineLevel="0" collapsed="false">
      <c r="B433" s="1" t="n">
        <v>45919</v>
      </c>
      <c r="C433" s="2" t="n">
        <f aca="false">75/60</f>
        <v>1.25</v>
      </c>
      <c r="G433" s="5" t="n">
        <f aca="false">SUM(C433:F433)</f>
        <v>1.25</v>
      </c>
      <c r="I433" s="10" t="s">
        <v>417</v>
      </c>
    </row>
    <row r="434" customFormat="false" ht="23.45" hidden="false" customHeight="false" outlineLevel="0" collapsed="false">
      <c r="B434" s="1" t="n">
        <v>45930</v>
      </c>
      <c r="C434" s="2" t="n">
        <f aca="false">18/60</f>
        <v>0.3</v>
      </c>
      <c r="D434" s="2" t="n">
        <f aca="false">35/60</f>
        <v>0.583333333333333</v>
      </c>
      <c r="G434" s="5" t="n">
        <f aca="false">SUM(C434:F434)</f>
        <v>0.883333333333333</v>
      </c>
      <c r="I434" s="10" t="s">
        <v>418</v>
      </c>
    </row>
    <row r="435" customFormat="false" ht="12.8" hidden="false" customHeight="false" outlineLevel="0" collapsed="false">
      <c r="B435" s="1" t="n">
        <v>45977</v>
      </c>
      <c r="C435" s="2" t="n">
        <f aca="false">15/60</f>
        <v>0.25</v>
      </c>
      <c r="G435" s="5" t="n">
        <f aca="false">SUM(C435:F435)</f>
        <v>0.25</v>
      </c>
      <c r="I435" s="10" t="s">
        <v>419</v>
      </c>
    </row>
    <row r="436" customFormat="false" ht="12.8" hidden="false" customHeight="true" outlineLevel="0" collapsed="false">
      <c r="G436" s="14" t="n">
        <f aca="false">SUM($G388:G435)</f>
        <v>45.05</v>
      </c>
      <c r="I436" s="3" t="s">
        <v>420</v>
      </c>
    </row>
    <row r="438" customFormat="false" ht="23.45" hidden="false" customHeight="false" outlineLevel="0" collapsed="false">
      <c r="B438" s="1" t="n">
        <v>45977</v>
      </c>
      <c r="C438" s="2" t="n">
        <f aca="false">65/60</f>
        <v>1.08333333333333</v>
      </c>
      <c r="G438" s="5" t="n">
        <f aca="false">SUM(C438:F438)</f>
        <v>1.08333333333333</v>
      </c>
      <c r="I438" s="10" t="s">
        <v>421</v>
      </c>
    </row>
    <row r="439" customFormat="false" ht="12.8" hidden="false" customHeight="false" outlineLevel="0" collapsed="false">
      <c r="B439" s="1" t="n">
        <v>45986</v>
      </c>
      <c r="C439" s="2" t="n">
        <f aca="false">20/60</f>
        <v>0.333333333333333</v>
      </c>
      <c r="G439" s="5" t="n">
        <f aca="false">SUM(C439:F439)</f>
        <v>0.333333333333333</v>
      </c>
      <c r="I439" s="3" t="s">
        <v>422</v>
      </c>
    </row>
    <row r="440" customFormat="false" ht="12.8" hidden="false" customHeight="false" outlineLevel="0" collapsed="false">
      <c r="B440" s="1" t="n">
        <v>45988</v>
      </c>
      <c r="C440" s="2" t="n">
        <f aca="false">35/60</f>
        <v>0.583333333333333</v>
      </c>
      <c r="G440" s="5" t="n">
        <f aca="false">SUM(C440:F440)</f>
        <v>0.583333333333333</v>
      </c>
      <c r="I440" s="10" t="s">
        <v>423</v>
      </c>
    </row>
    <row r="441" customFormat="false" ht="12.8" hidden="false" customHeight="true" outlineLevel="0" collapsed="false">
      <c r="B441" s="1" t="n">
        <v>45989</v>
      </c>
      <c r="C441" s="2" t="n">
        <f aca="false">25/60</f>
        <v>0.416666666666667</v>
      </c>
      <c r="G441" s="5" t="n">
        <f aca="false">SUM(C441:F441)</f>
        <v>0.416666666666667</v>
      </c>
      <c r="I441" s="3" t="s">
        <v>424</v>
      </c>
    </row>
    <row r="442" customFormat="false" ht="12.8" hidden="false" customHeight="true" outlineLevel="0" collapsed="false">
      <c r="B442" s="1" t="n">
        <v>45990</v>
      </c>
      <c r="C442" s="2" t="n">
        <f aca="false">40/60</f>
        <v>0.666666666666667</v>
      </c>
      <c r="G442" s="5" t="n">
        <f aca="false">SUM(C442:F442)</f>
        <v>0.666666666666667</v>
      </c>
      <c r="I442" s="3" t="s">
        <v>425</v>
      </c>
    </row>
    <row r="443" customFormat="false" ht="23.45" hidden="false" customHeight="false" outlineLevel="0" collapsed="false">
      <c r="B443" s="1" t="n">
        <v>45991</v>
      </c>
      <c r="C443" s="2" t="n">
        <f aca="false">43/60</f>
        <v>0.716666666666667</v>
      </c>
      <c r="G443" s="5" t="n">
        <f aca="false">SUM(C443:F443)</f>
        <v>0.716666666666667</v>
      </c>
      <c r="I443" s="3" t="s">
        <v>421</v>
      </c>
    </row>
    <row r="444" customFormat="false" ht="12.8" hidden="false" customHeight="true" outlineLevel="0" collapsed="false">
      <c r="B444" s="1" t="n">
        <v>45992</v>
      </c>
      <c r="C444" s="2" t="n">
        <f aca="false">40/60</f>
        <v>0.666666666666667</v>
      </c>
      <c r="G444" s="5" t="n">
        <f aca="false">SUM(C444:F444)</f>
        <v>0.666666666666667</v>
      </c>
      <c r="I444" s="10" t="s">
        <v>426</v>
      </c>
    </row>
    <row r="445" customFormat="false" ht="12.8" hidden="false" customHeight="true" outlineLevel="0" collapsed="false">
      <c r="B445" s="1" t="n">
        <v>45993</v>
      </c>
      <c r="C445" s="2" t="n">
        <f aca="false">30/60</f>
        <v>0.5</v>
      </c>
      <c r="G445" s="5" t="n">
        <f aca="false">SUM(C445:F445)</f>
        <v>0.5</v>
      </c>
      <c r="I445" s="3" t="s">
        <v>427</v>
      </c>
    </row>
    <row r="446" customFormat="false" ht="34.5" hidden="false" customHeight="false" outlineLevel="0" collapsed="false">
      <c r="B446" s="1" t="n">
        <v>45995</v>
      </c>
      <c r="C446" s="2" t="n">
        <f aca="false">25/60</f>
        <v>0.416666666666667</v>
      </c>
      <c r="G446" s="5" t="n">
        <f aca="false">SUM(C446:F446)</f>
        <v>0.416666666666667</v>
      </c>
      <c r="I446" s="3" t="s">
        <v>428</v>
      </c>
    </row>
    <row r="447" customFormat="false" ht="23.45" hidden="false" customHeight="false" outlineLevel="0" collapsed="false">
      <c r="B447" s="1" t="n">
        <v>45996</v>
      </c>
      <c r="C447" s="2" t="n">
        <f aca="false">15/60</f>
        <v>0.25</v>
      </c>
      <c r="G447" s="5" t="n">
        <f aca="false">SUM(C447:F447)</f>
        <v>0.25</v>
      </c>
      <c r="I447" s="3" t="s">
        <v>429</v>
      </c>
    </row>
    <row r="448" customFormat="false" ht="12.8" hidden="false" customHeight="true" outlineLevel="0" collapsed="false">
      <c r="B448" s="1" t="n">
        <v>45997</v>
      </c>
      <c r="C448" s="2" t="n">
        <f aca="false">15/60</f>
        <v>0.25</v>
      </c>
      <c r="G448" s="5" t="n">
        <f aca="false">SUM(C448:F448)</f>
        <v>0.25</v>
      </c>
      <c r="I448" s="3" t="s">
        <v>430</v>
      </c>
    </row>
    <row r="449" customFormat="false" ht="45.5" hidden="false" customHeight="false" outlineLevel="0" collapsed="false">
      <c r="B449" s="1" t="n">
        <v>45998</v>
      </c>
      <c r="C449" s="2" t="n">
        <f aca="false">20/60</f>
        <v>0.333333333333333</v>
      </c>
      <c r="D449" s="2" t="n">
        <f aca="false">15/60</f>
        <v>0.25</v>
      </c>
      <c r="G449" s="5" t="n">
        <f aca="false">SUM(C449:F449)</f>
        <v>0.583333333333333</v>
      </c>
      <c r="I449" s="3" t="s">
        <v>431</v>
      </c>
    </row>
    <row r="450" customFormat="false" ht="12.8" hidden="false" customHeight="true" outlineLevel="0" collapsed="false">
      <c r="B450" s="1" t="n">
        <v>46001</v>
      </c>
      <c r="C450" s="2" t="n">
        <f aca="false">45/60</f>
        <v>0.75</v>
      </c>
      <c r="G450" s="5" t="n">
        <f aca="false">SUM(C450:F450)</f>
        <v>0.75</v>
      </c>
      <c r="I450" s="3" t="s">
        <v>432</v>
      </c>
    </row>
    <row r="451" customFormat="false" ht="12.8" hidden="false" customHeight="true" outlineLevel="0" collapsed="false">
      <c r="B451" s="1" t="n">
        <v>46002</v>
      </c>
      <c r="C451" s="2" t="n">
        <f aca="false">90/60</f>
        <v>1.5</v>
      </c>
      <c r="G451" s="5" t="n">
        <f aca="false">SUM(C451:F451)</f>
        <v>1.5</v>
      </c>
      <c r="I451" s="3" t="s">
        <v>433</v>
      </c>
    </row>
    <row r="452" customFormat="false" ht="12.8" hidden="false" customHeight="true" outlineLevel="0" collapsed="false">
      <c r="B452" s="1" t="n">
        <v>46005</v>
      </c>
      <c r="C452" s="2" t="n">
        <f aca="false">50/60</f>
        <v>0.833333333333333</v>
      </c>
      <c r="G452" s="5" t="n">
        <f aca="false">SUM(C452:F452)</f>
        <v>0.833333333333333</v>
      </c>
      <c r="I452" s="3" t="s">
        <v>434</v>
      </c>
    </row>
    <row r="453" customFormat="false" ht="12.8" hidden="false" customHeight="true" outlineLevel="0" collapsed="false">
      <c r="B453" s="1" t="n">
        <v>46006</v>
      </c>
      <c r="C453" s="2" t="n">
        <f aca="false">20/60</f>
        <v>0.333333333333333</v>
      </c>
      <c r="G453" s="5" t="n">
        <f aca="false">SUM(C453:F453)</f>
        <v>0.333333333333333</v>
      </c>
      <c r="I453" s="3" t="s">
        <v>435</v>
      </c>
    </row>
    <row r="454" customFormat="false" ht="12.8" hidden="false" customHeight="true" outlineLevel="0" collapsed="false">
      <c r="B454" s="1" t="n">
        <v>46013</v>
      </c>
      <c r="C454" s="2" t="n">
        <f aca="false">40/60</f>
        <v>0.666666666666667</v>
      </c>
      <c r="G454" s="5" t="n">
        <f aca="false">SUM(C454:F454)</f>
        <v>0.666666666666667</v>
      </c>
      <c r="I454" s="3" t="s">
        <v>436</v>
      </c>
    </row>
    <row r="455" customFormat="false" ht="12.8" hidden="false" customHeight="true" outlineLevel="0" collapsed="false">
      <c r="B455" s="1" t="n">
        <v>46019</v>
      </c>
      <c r="C455" s="2" t="n">
        <f aca="false">15/60</f>
        <v>0.25</v>
      </c>
      <c r="G455" s="5" t="n">
        <f aca="false">SUM(C455:F455)</f>
        <v>0.25</v>
      </c>
      <c r="I455" s="3" t="s">
        <v>437</v>
      </c>
    </row>
    <row r="456" customFormat="false" ht="12.8" hidden="false" customHeight="true" outlineLevel="0" collapsed="false">
      <c r="B456" s="1" t="n">
        <v>46020</v>
      </c>
      <c r="C456" s="2" t="n">
        <f aca="false">18/60</f>
        <v>0.3</v>
      </c>
      <c r="G456" s="5" t="n">
        <f aca="false">SUM(C456:F456)</f>
        <v>0.3</v>
      </c>
      <c r="I456" s="3" t="s">
        <v>438</v>
      </c>
    </row>
    <row r="457" customFormat="false" ht="12.8" hidden="false" customHeight="true" outlineLevel="0" collapsed="false">
      <c r="B457" s="1" t="n">
        <v>46035</v>
      </c>
      <c r="C457" s="2" t="n">
        <f aca="false">20/60</f>
        <v>0.333333333333333</v>
      </c>
      <c r="G457" s="5" t="n">
        <f aca="false">SUM(C457:F457)</f>
        <v>0.333333333333333</v>
      </c>
      <c r="I457" s="3" t="s">
        <v>439</v>
      </c>
    </row>
    <row r="458" customFormat="false" ht="12.8" hidden="false" customHeight="true" outlineLevel="0" collapsed="false">
      <c r="B458" s="1" t="n">
        <v>46046</v>
      </c>
      <c r="C458" s="2" t="n">
        <v>4.3</v>
      </c>
      <c r="G458" s="5" t="n">
        <f aca="false">SUM(C458:F458)</f>
        <v>4.3</v>
      </c>
      <c r="I458" s="3" t="s">
        <v>440</v>
      </c>
    </row>
    <row r="459" customFormat="false" ht="12.8" hidden="false" customHeight="true" outlineLevel="0" collapsed="false">
      <c r="B459" s="1" t="n">
        <v>46048</v>
      </c>
      <c r="C459" s="2" t="n">
        <v>0.7</v>
      </c>
      <c r="G459" s="5" t="n">
        <f aca="false">SUM(C459:F459)</f>
        <v>0.7</v>
      </c>
      <c r="I459" s="3" t="s">
        <v>441</v>
      </c>
    </row>
    <row r="460" customFormat="false" ht="12.8" hidden="false" customHeight="true" outlineLevel="0" collapsed="false">
      <c r="B460" s="1" t="n">
        <v>46063</v>
      </c>
      <c r="C460" s="2" t="n">
        <f aca="false">45/60</f>
        <v>0.75</v>
      </c>
      <c r="G460" s="5" t="n">
        <f aca="false">SUM(C460:F460)</f>
        <v>0.75</v>
      </c>
      <c r="I460" s="3" t="s">
        <v>442</v>
      </c>
    </row>
    <row r="461" customFormat="false" ht="12.8" hidden="false" customHeight="true" outlineLevel="0" collapsed="false">
      <c r="B461" s="1" t="n">
        <v>46065</v>
      </c>
      <c r="C461" s="2" t="n">
        <f aca="false">38/60</f>
        <v>0.633333333333333</v>
      </c>
      <c r="G461" s="5" t="n">
        <f aca="false">SUM(C461:F461)</f>
        <v>0.633333333333333</v>
      </c>
      <c r="I461" s="3" t="s">
        <v>443</v>
      </c>
    </row>
    <row r="462" customFormat="false" ht="12.8" hidden="false" customHeight="true" outlineLevel="0" collapsed="false">
      <c r="B462" s="1" t="n">
        <v>46070</v>
      </c>
      <c r="C462" s="2" t="n">
        <f aca="false">15/60</f>
        <v>0.25</v>
      </c>
      <c r="G462" s="5" t="n">
        <f aca="false">SUM(C462:F462)</f>
        <v>0.25</v>
      </c>
      <c r="I462" s="3" t="s">
        <v>444</v>
      </c>
    </row>
    <row r="463" customFormat="false" ht="12.8" hidden="false" customHeight="true" outlineLevel="0" collapsed="false">
      <c r="B463" s="1" t="n">
        <v>46070</v>
      </c>
      <c r="C463" s="2" t="n">
        <f aca="false">40/60</f>
        <v>0.666666666666667</v>
      </c>
      <c r="G463" s="5" t="n">
        <f aca="false">SUM(C463:F463)</f>
        <v>0.666666666666667</v>
      </c>
      <c r="I463" s="3" t="s">
        <v>445</v>
      </c>
    </row>
    <row r="464" customFormat="false" ht="12.8" hidden="false" customHeight="true" outlineLevel="0" collapsed="false">
      <c r="B464" s="1" t="n">
        <v>46071</v>
      </c>
      <c r="C464" s="2" t="n">
        <f aca="false">10/60</f>
        <v>0.166666666666667</v>
      </c>
      <c r="G464" s="5" t="n">
        <f aca="false">SUM(C464:F464)</f>
        <v>0.166666666666667</v>
      </c>
      <c r="I464" s="3" t="s">
        <v>446</v>
      </c>
    </row>
    <row r="465" customFormat="false" ht="12.8" hidden="false" customHeight="true" outlineLevel="0" collapsed="false">
      <c r="B465" s="1" t="n">
        <v>46072</v>
      </c>
      <c r="C465" s="2" t="n">
        <f aca="false">15/60</f>
        <v>0.25</v>
      </c>
      <c r="G465" s="5" t="n">
        <f aca="false">SUM(C465:F465)</f>
        <v>0.25</v>
      </c>
      <c r="I465" s="3" t="s">
        <v>447</v>
      </c>
    </row>
    <row r="466" customFormat="false" ht="12.8" hidden="false" customHeight="true" outlineLevel="0" collapsed="false">
      <c r="B466" s="1" t="n">
        <v>46072</v>
      </c>
      <c r="C466" s="2" t="n">
        <f aca="false">35/60</f>
        <v>0.583333333333333</v>
      </c>
      <c r="G466" s="5" t="n">
        <f aca="false">SUM(C466:F466)</f>
        <v>0.583333333333333</v>
      </c>
      <c r="I466" s="3" t="s">
        <v>448</v>
      </c>
    </row>
    <row r="467" customFormat="false" ht="12.8" hidden="false" customHeight="true" outlineLevel="0" collapsed="false">
      <c r="B467" s="1" t="n">
        <v>46072</v>
      </c>
      <c r="C467" s="2" t="n">
        <f aca="false">15/60</f>
        <v>0.25</v>
      </c>
      <c r="G467" s="5" t="n">
        <f aca="false">SUM(C467:F467)</f>
        <v>0.25</v>
      </c>
      <c r="I467" s="3" t="s">
        <v>449</v>
      </c>
    </row>
    <row r="468" customFormat="false" ht="23.45" hidden="false" customHeight="false" outlineLevel="0" collapsed="false">
      <c r="B468" s="1" t="n">
        <v>46089</v>
      </c>
      <c r="C468" s="2" t="n">
        <f aca="false">25/60</f>
        <v>0.416666666666667</v>
      </c>
      <c r="D468" s="2" t="n">
        <f aca="false">25/60</f>
        <v>0.416666666666667</v>
      </c>
      <c r="G468" s="5" t="n">
        <f aca="false">SUM(C468:F468)</f>
        <v>0.833333333333333</v>
      </c>
      <c r="I468" s="3" t="s">
        <v>450</v>
      </c>
    </row>
    <row r="469" customFormat="false" ht="12.8" hidden="false" customHeight="true" outlineLevel="0" collapsed="false">
      <c r="B469" s="1" t="n">
        <v>46114</v>
      </c>
      <c r="C469" s="2" t="n">
        <f aca="false">102/60</f>
        <v>1.7</v>
      </c>
      <c r="G469" s="5" t="n">
        <f aca="false">SUM(C469:F469)</f>
        <v>1.7</v>
      </c>
      <c r="I469" s="3" t="s">
        <v>451</v>
      </c>
    </row>
    <row r="470" customFormat="false" ht="12.8" hidden="false" customHeight="true" outlineLevel="0" collapsed="false">
      <c r="B470" s="1" t="n">
        <v>46115</v>
      </c>
      <c r="C470" s="2" t="n">
        <f aca="false">115/60</f>
        <v>1.91666666666667</v>
      </c>
      <c r="G470" s="5" t="n">
        <f aca="false">SUM(C470:F470)</f>
        <v>1.91666666666667</v>
      </c>
      <c r="I470" s="3" t="s">
        <v>452</v>
      </c>
    </row>
    <row r="471" customFormat="false" ht="12.8" hidden="false" customHeight="true" outlineLevel="0" collapsed="false">
      <c r="B471" s="1" t="n">
        <v>46116</v>
      </c>
      <c r="C471" s="2" t="n">
        <f aca="false">110/60</f>
        <v>1.83333333333333</v>
      </c>
      <c r="G471" s="5" t="n">
        <f aca="false">SUM(C471:F471)</f>
        <v>1.83333333333333</v>
      </c>
      <c r="I471" s="3" t="s">
        <v>453</v>
      </c>
    </row>
    <row r="472" customFormat="false" ht="12.8" hidden="false" customHeight="true" outlineLevel="0" collapsed="false">
      <c r="B472" s="1" t="n">
        <v>46117</v>
      </c>
      <c r="C472" s="2" t="n">
        <f aca="false">140/60</f>
        <v>2.33333333333333</v>
      </c>
      <c r="G472" s="5" t="n">
        <f aca="false">SUM(C472:F472)</f>
        <v>2.33333333333333</v>
      </c>
      <c r="I472" s="3" t="s">
        <v>454</v>
      </c>
    </row>
    <row r="473" customFormat="false" ht="23.45" hidden="false" customHeight="false" outlineLevel="0" collapsed="false">
      <c r="B473" s="1" t="n">
        <v>46118</v>
      </c>
      <c r="C473" s="2" t="n">
        <f aca="false">35/60</f>
        <v>0.583333333333333</v>
      </c>
      <c r="D473" s="2" t="n">
        <f aca="false">15/60</f>
        <v>0.25</v>
      </c>
      <c r="G473" s="5" t="n">
        <f aca="false">SUM(C473:F473)</f>
        <v>0.833333333333333</v>
      </c>
      <c r="I473" s="3" t="s">
        <v>455</v>
      </c>
    </row>
    <row r="474" customFormat="false" ht="12.8" hidden="false" customHeight="true" outlineLevel="0" collapsed="false">
      <c r="B474" s="1" t="n">
        <v>46119</v>
      </c>
      <c r="C474" s="2" t="n">
        <f aca="false">20/60</f>
        <v>0.333333333333333</v>
      </c>
      <c r="G474" s="5" t="n">
        <f aca="false">SUM(C474:F474)</f>
        <v>0.333333333333333</v>
      </c>
      <c r="I474" s="3" t="s">
        <v>456</v>
      </c>
    </row>
    <row r="475" customFormat="false" ht="12.8" hidden="false" customHeight="true" outlineLevel="0" collapsed="false">
      <c r="B475" s="1" t="n">
        <v>45758</v>
      </c>
      <c r="C475" s="2" t="n">
        <f aca="false">68/60</f>
        <v>1.13333333333333</v>
      </c>
      <c r="G475" s="5" t="n">
        <f aca="false">SUM(C475:F475)</f>
        <v>1.13333333333333</v>
      </c>
      <c r="I475" s="3" t="s">
        <v>457</v>
      </c>
    </row>
    <row r="476" customFormat="false" ht="12.8" hidden="false" customHeight="true" outlineLevel="0" collapsed="false">
      <c r="B476" s="1" t="n">
        <v>46124</v>
      </c>
      <c r="C476" s="2" t="n">
        <f aca="false">40/60</f>
        <v>0.666666666666667</v>
      </c>
      <c r="G476" s="5" t="n">
        <f aca="false">SUM(C476:F476)</f>
        <v>0.666666666666667</v>
      </c>
      <c r="I476" s="3" t="s">
        <v>458</v>
      </c>
    </row>
    <row r="477" customFormat="false" ht="12.8" hidden="false" customHeight="true" outlineLevel="0" collapsed="false">
      <c r="B477" s="1" t="n">
        <v>46125</v>
      </c>
      <c r="C477" s="2" t="n">
        <f aca="false">25/60</f>
        <v>0.416666666666667</v>
      </c>
      <c r="G477" s="5" t="n">
        <f aca="false">SUM(C477:F477)</f>
        <v>0.416666666666667</v>
      </c>
      <c r="I477" s="3" t="s">
        <v>459</v>
      </c>
    </row>
    <row r="478" customFormat="false" ht="12.8" hidden="false" customHeight="true" outlineLevel="0" collapsed="false">
      <c r="B478" s="1" t="n">
        <v>46126</v>
      </c>
      <c r="C478" s="2" t="n">
        <f aca="false">25/60</f>
        <v>0.416666666666667</v>
      </c>
      <c r="G478" s="5" t="n">
        <f aca="false">SUM(C478:F478)</f>
        <v>0.416666666666667</v>
      </c>
      <c r="I478" s="10" t="s">
        <v>460</v>
      </c>
    </row>
    <row r="479" customFormat="false" ht="12.8" hidden="false" customHeight="true" outlineLevel="0" collapsed="false">
      <c r="B479" s="1" t="n">
        <v>46127</v>
      </c>
      <c r="C479" s="2" t="n">
        <f aca="false">95/60</f>
        <v>1.58333333333333</v>
      </c>
      <c r="G479" s="5" t="n">
        <f aca="false">SUM(C479:F479)</f>
        <v>1.58333333333333</v>
      </c>
      <c r="I479" s="10" t="s">
        <v>461</v>
      </c>
    </row>
    <row r="480" customFormat="false" ht="155.2" hidden="false" customHeight="false" outlineLevel="0" collapsed="false">
      <c r="B480" s="1" t="n">
        <v>46128</v>
      </c>
      <c r="C480" s="2" t="n">
        <f aca="false">150/60</f>
        <v>2.5</v>
      </c>
      <c r="G480" s="5" t="n">
        <f aca="false">SUM(C480:F480)</f>
        <v>2.5</v>
      </c>
      <c r="I480" s="3" t="s">
        <v>462</v>
      </c>
    </row>
    <row r="481" customFormat="false" ht="56.55" hidden="false" customHeight="false" outlineLevel="0" collapsed="false">
      <c r="B481" s="1" t="n">
        <v>46129</v>
      </c>
      <c r="C481" s="2" t="n">
        <f aca="false">58/60</f>
        <v>0.966666666666667</v>
      </c>
      <c r="G481" s="5" t="n">
        <f aca="false">SUM(C481:F481)</f>
        <v>0.966666666666667</v>
      </c>
      <c r="I481" s="3" t="s">
        <v>463</v>
      </c>
    </row>
    <row r="482" customFormat="false" ht="12.8" hidden="false" customHeight="true" outlineLevel="0" collapsed="false">
      <c r="B482" s="1" t="n">
        <v>46133</v>
      </c>
      <c r="C482" s="2" t="n">
        <f aca="false">10/60</f>
        <v>0.166666666666667</v>
      </c>
      <c r="G482" s="5" t="n">
        <f aca="false">SUM(C482:F482)</f>
        <v>0.166666666666667</v>
      </c>
      <c r="I482" s="3" t="s">
        <v>464</v>
      </c>
    </row>
    <row r="483" customFormat="false" ht="12.8" hidden="false" customHeight="true" outlineLevel="0" collapsed="false">
      <c r="B483" s="1" t="n">
        <v>46134</v>
      </c>
      <c r="C483" s="2" t="n">
        <f aca="false">15/60</f>
        <v>0.25</v>
      </c>
      <c r="G483" s="5" t="n">
        <f aca="false">SUM(C483:F483)</f>
        <v>0.25</v>
      </c>
      <c r="I483" s="3" t="s">
        <v>465</v>
      </c>
    </row>
    <row r="484" customFormat="false" ht="23.45" hidden="false" customHeight="false" outlineLevel="0" collapsed="false">
      <c r="B484" s="1" t="n">
        <v>46143</v>
      </c>
      <c r="C484" s="2" t="n">
        <f aca="false">35/60</f>
        <v>0.583333333333333</v>
      </c>
      <c r="G484" s="5" t="n">
        <f aca="false">SUM(C484:F484)</f>
        <v>0.583333333333333</v>
      </c>
      <c r="I484" s="3" t="s">
        <v>466</v>
      </c>
    </row>
    <row r="485" customFormat="false" ht="23.45" hidden="false" customHeight="false" outlineLevel="0" collapsed="false">
      <c r="B485" s="16" t="n">
        <v>46143</v>
      </c>
      <c r="C485" s="2" t="n">
        <f aca="false">35/60</f>
        <v>0.583333333333333</v>
      </c>
      <c r="G485" s="5" t="n">
        <f aca="false">SUM(C485:F485)</f>
        <v>0.583333333333333</v>
      </c>
      <c r="I485" s="3" t="s">
        <v>467</v>
      </c>
    </row>
    <row r="486" customFormat="false" ht="100.45" hidden="false" customHeight="false" outlineLevel="0" collapsed="false">
      <c r="B486" s="1" t="n">
        <v>46149</v>
      </c>
      <c r="C486" s="2" t="n">
        <f aca="false">85/60</f>
        <v>1.41666666666667</v>
      </c>
      <c r="G486" s="5" t="n">
        <f aca="false">SUM(C486:F486)</f>
        <v>1.41666666666667</v>
      </c>
      <c r="I486" s="3" t="s">
        <v>468</v>
      </c>
    </row>
    <row r="487" customFormat="false" ht="34.75" hidden="false" customHeight="false" outlineLevel="0" collapsed="false">
      <c r="B487" s="1" t="n">
        <v>46150</v>
      </c>
      <c r="C487" s="2" t="n">
        <f aca="false">25/60</f>
        <v>0.416666666666667</v>
      </c>
      <c r="G487" s="5" t="n">
        <f aca="false">SUM(C487:F487)</f>
        <v>0.416666666666667</v>
      </c>
      <c r="I487" s="3" t="s">
        <v>469</v>
      </c>
    </row>
    <row r="488" customFormat="false" ht="23.45" hidden="false" customHeight="false" outlineLevel="0" collapsed="false">
      <c r="B488" s="1" t="n">
        <v>46151</v>
      </c>
      <c r="C488" s="2" t="n">
        <f aca="false">25/60</f>
        <v>0.416666666666667</v>
      </c>
      <c r="G488" s="5" t="n">
        <f aca="false">SUM(C488:F488)</f>
        <v>0.416666666666667</v>
      </c>
      <c r="I488" s="3" t="s">
        <v>470</v>
      </c>
    </row>
    <row r="489" customFormat="false" ht="23.8" hidden="false" customHeight="false" outlineLevel="0" collapsed="false">
      <c r="B489" s="1" t="n">
        <v>46153</v>
      </c>
      <c r="C489" s="2" t="n">
        <f aca="false">40/60</f>
        <v>0.666666666666667</v>
      </c>
      <c r="G489" s="5" t="n">
        <f aca="false">SUM(C489:F489)</f>
        <v>0.666666666666667</v>
      </c>
      <c r="I489" s="3" t="s">
        <v>471</v>
      </c>
    </row>
    <row r="490" customFormat="false" ht="45.5" hidden="false" customHeight="false" outlineLevel="0" collapsed="false">
      <c r="B490" s="1" t="n">
        <v>46156</v>
      </c>
      <c r="C490" s="2" t="n">
        <f aca="false">45/60</f>
        <v>0.75</v>
      </c>
      <c r="G490" s="5" t="n">
        <f aca="false">SUM(C490:F490)</f>
        <v>0.75</v>
      </c>
      <c r="I490" s="12" t="s">
        <v>472</v>
      </c>
    </row>
    <row r="491" customFormat="false" ht="45.5" hidden="false" customHeight="false" outlineLevel="0" collapsed="false">
      <c r="B491" s="1" t="n">
        <v>46157</v>
      </c>
      <c r="C491" s="2" t="n">
        <f aca="false">20/60</f>
        <v>0.333333333333333</v>
      </c>
      <c r="D491" s="2" t="n">
        <f aca="false">10/60</f>
        <v>0.166666666666667</v>
      </c>
      <c r="E491" s="2" t="n">
        <f aca="false">25/60</f>
        <v>0.416666666666667</v>
      </c>
      <c r="G491" s="5" t="n">
        <f aca="false">SUM(C491:F491)</f>
        <v>0.916666666666667</v>
      </c>
      <c r="I491" s="3" t="s">
        <v>473</v>
      </c>
    </row>
    <row r="492" customFormat="false" ht="12.8" hidden="false" customHeight="false" outlineLevel="0" collapsed="false">
      <c r="B492" s="1" t="n">
        <v>46158</v>
      </c>
      <c r="C492" s="2" t="n">
        <f aca="false">15/60</f>
        <v>0.25</v>
      </c>
      <c r="G492" s="5" t="n">
        <f aca="false">SUM(C492:F492)</f>
        <v>0.25</v>
      </c>
      <c r="I492" s="3" t="s">
        <v>474</v>
      </c>
    </row>
    <row r="493" customFormat="false" ht="12.8" hidden="false" customHeight="false" outlineLevel="0" collapsed="false">
      <c r="B493" s="1" t="n">
        <v>46169</v>
      </c>
      <c r="C493" s="2" t="n">
        <f aca="false">10/60</f>
        <v>0.166666666666667</v>
      </c>
      <c r="D493" s="2" t="n">
        <f aca="false">15/60</f>
        <v>0.25</v>
      </c>
      <c r="G493" s="5" t="n">
        <f aca="false">SUM(C493:F493)</f>
        <v>0.416666666666667</v>
      </c>
      <c r="I493" s="3" t="s">
        <v>475</v>
      </c>
    </row>
    <row r="494" customFormat="false" ht="122.35" hidden="false" customHeight="false" outlineLevel="0" collapsed="false">
      <c r="B494" s="1" t="n">
        <v>46170</v>
      </c>
      <c r="C494" s="2" t="n">
        <f aca="false">35/60</f>
        <v>0.583333333333333</v>
      </c>
      <c r="G494" s="5" t="n">
        <f aca="false">SUM(C494:F494)</f>
        <v>0.583333333333333</v>
      </c>
      <c r="I494" s="3" t="s">
        <v>476</v>
      </c>
    </row>
    <row r="495" customFormat="false" ht="23.45" hidden="false" customHeight="false" outlineLevel="0" collapsed="false">
      <c r="B495" s="1" t="n">
        <v>46204</v>
      </c>
      <c r="C495" s="2" t="n">
        <f aca="false">35/60</f>
        <v>0.583333333333333</v>
      </c>
      <c r="G495" s="5" t="n">
        <f aca="false">SUM(C495:F495)</f>
        <v>0.583333333333333</v>
      </c>
      <c r="I495" s="3" t="s">
        <v>477</v>
      </c>
    </row>
    <row r="497" customFormat="false" ht="12.8" hidden="false" customHeight="true" outlineLevel="0" collapsed="false">
      <c r="G497" s="14" t="n">
        <f aca="false">SUM($G438:G496)</f>
        <v>45.45</v>
      </c>
      <c r="I497" s="3" t="s">
        <v>478</v>
      </c>
    </row>
    <row r="499" customFormat="false" ht="12.8" hidden="false" customHeight="false" outlineLevel="0" collapsed="false">
      <c r="B499" s="1" t="n">
        <v>46204</v>
      </c>
      <c r="C499" s="2" t="n">
        <f aca="false">35/60</f>
        <v>0.583333333333333</v>
      </c>
      <c r="D499" s="2" t="n">
        <f aca="false">15/60</f>
        <v>0.25</v>
      </c>
      <c r="G499" s="5" t="n">
        <f aca="false">SUM(C499:F499)</f>
        <v>0.833333333333333</v>
      </c>
      <c r="I499" s="3" t="s">
        <v>479</v>
      </c>
    </row>
    <row r="500" customFormat="false" ht="34.5" hidden="false" customHeight="false" outlineLevel="0" collapsed="false">
      <c r="B500" s="1" t="n">
        <v>46207</v>
      </c>
      <c r="C500" s="2" t="n">
        <f aca="false">25/60</f>
        <v>0.416666666666667</v>
      </c>
      <c r="D500" s="2" t="n">
        <f aca="false">10/60</f>
        <v>0.166666666666667</v>
      </c>
      <c r="E500" s="2" t="n">
        <f aca="false">15/60</f>
        <v>0.25</v>
      </c>
      <c r="G500" s="5" t="n">
        <f aca="false">SUM(C500:F500)</f>
        <v>0.833333333333333</v>
      </c>
      <c r="I500" s="10" t="s">
        <v>480</v>
      </c>
    </row>
    <row r="501" customFormat="false" ht="12.8" hidden="false" customHeight="true" outlineLevel="0" collapsed="false">
      <c r="B501" s="1" t="n">
        <v>46224</v>
      </c>
      <c r="C501" s="2" t="n">
        <f aca="false">25/60</f>
        <v>0.416666666666667</v>
      </c>
      <c r="G501" s="5" t="n">
        <f aca="false">SUM(C501:F501)</f>
        <v>0.416666666666667</v>
      </c>
      <c r="I501" s="3" t="s">
        <v>481</v>
      </c>
    </row>
    <row r="502" customFormat="false" ht="78.55" hidden="false" customHeight="false" outlineLevel="0" collapsed="false">
      <c r="B502" s="1" t="n">
        <v>46225</v>
      </c>
      <c r="C502" s="2" t="n">
        <v>2.5</v>
      </c>
      <c r="G502" s="5" t="n">
        <f aca="false">SUM(C502:F502)</f>
        <v>2.5</v>
      </c>
      <c r="I502" s="3" t="s">
        <v>482</v>
      </c>
    </row>
    <row r="503" customFormat="false" ht="23.45" hidden="false" customHeight="false" outlineLevel="0" collapsed="false">
      <c r="B503" s="1" t="n">
        <v>46226</v>
      </c>
      <c r="C503" s="2" t="n">
        <v>1</v>
      </c>
      <c r="G503" s="5" t="n">
        <f aca="false">SUM(C503:F503)</f>
        <v>1</v>
      </c>
      <c r="I503" s="3" t="s">
        <v>483</v>
      </c>
    </row>
    <row r="504" customFormat="false" ht="23.45" hidden="false" customHeight="false" outlineLevel="0" collapsed="false">
      <c r="B504" s="1" t="n">
        <v>46227</v>
      </c>
      <c r="C504" s="2" t="n">
        <v>0.5</v>
      </c>
      <c r="G504" s="5" t="n">
        <f aca="false">SUM(C504:F504)</f>
        <v>0.5</v>
      </c>
      <c r="I504" s="3" t="s">
        <v>484</v>
      </c>
    </row>
    <row r="505" customFormat="false" ht="12.8" hidden="false" customHeight="true" outlineLevel="0" collapsed="false">
      <c r="B505" s="1" t="n">
        <v>46228</v>
      </c>
      <c r="C505" s="2" t="n">
        <f aca="false">35/60</f>
        <v>0.583333333333333</v>
      </c>
      <c r="G505" s="5" t="n">
        <f aca="false">SUM(C505:F505)</f>
        <v>0.583333333333333</v>
      </c>
      <c r="I505" s="3" t="s">
        <v>485</v>
      </c>
    </row>
    <row r="506" customFormat="false" ht="34.5" hidden="false" customHeight="false" outlineLevel="0" collapsed="false">
      <c r="B506" s="1" t="n">
        <v>46229</v>
      </c>
      <c r="C506" s="2" t="n">
        <f aca="false">25/60</f>
        <v>0.416666666666667</v>
      </c>
      <c r="G506" s="5" t="n">
        <f aca="false">SUM(C506:F506)</f>
        <v>0.416666666666667</v>
      </c>
      <c r="I506" s="12" t="s">
        <v>486</v>
      </c>
    </row>
    <row r="507" customFormat="false" ht="12.8" hidden="false" customHeight="true" outlineLevel="0" collapsed="false">
      <c r="B507" s="1" t="n">
        <v>46230</v>
      </c>
      <c r="C507" s="2" t="n">
        <f aca="false">40/60</f>
        <v>0.666666666666667</v>
      </c>
      <c r="G507" s="5" t="n">
        <f aca="false">SUM(C507:F507)</f>
        <v>0.666666666666667</v>
      </c>
      <c r="I507" s="3" t="s">
        <v>487</v>
      </c>
    </row>
    <row r="508" customFormat="false" ht="12.8" hidden="false" customHeight="true" outlineLevel="0" collapsed="false">
      <c r="B508" s="1" t="n">
        <v>46233</v>
      </c>
      <c r="C508" s="2" t="n">
        <v>1</v>
      </c>
      <c r="G508" s="5" t="n">
        <f aca="false">SUM(C508:F508)</f>
        <v>1</v>
      </c>
      <c r="I508" s="3" t="s">
        <v>488</v>
      </c>
    </row>
    <row r="509" customFormat="false" ht="12.8" hidden="false" customHeight="true" outlineLevel="0" collapsed="false">
      <c r="B509" s="1" t="n">
        <v>46234</v>
      </c>
      <c r="C509" s="2" t="n">
        <v>1.25</v>
      </c>
      <c r="G509" s="5" t="n">
        <f aca="false">SUM(C509:F509)</f>
        <v>1.25</v>
      </c>
      <c r="I509" s="12" t="s">
        <v>489</v>
      </c>
    </row>
    <row r="510" customFormat="false" ht="12.8" hidden="false" customHeight="true" outlineLevel="0" collapsed="false">
      <c r="B510" s="1" t="n">
        <v>46235</v>
      </c>
      <c r="C510" s="2" t="n">
        <v>0.75</v>
      </c>
      <c r="G510" s="5" t="n">
        <f aca="false">SUM(C510:F510)</f>
        <v>0.75</v>
      </c>
      <c r="I510" s="12" t="s">
        <v>490</v>
      </c>
    </row>
    <row r="511" customFormat="false" ht="56.55" hidden="false" customHeight="false" outlineLevel="0" collapsed="false">
      <c r="B511" s="1" t="n">
        <v>46238</v>
      </c>
      <c r="C511" s="2" t="n">
        <f aca="false">50/60</f>
        <v>0.833333333333333</v>
      </c>
      <c r="D511" s="2" t="n">
        <f aca="false">38/60</f>
        <v>0.633333333333333</v>
      </c>
      <c r="E511" s="2" t="n">
        <f aca="false">15/60</f>
        <v>0.25</v>
      </c>
      <c r="G511" s="5" t="n">
        <f aca="false">SUM(C511:F511)</f>
        <v>1.71666666666667</v>
      </c>
      <c r="I511" s="3" t="s">
        <v>491</v>
      </c>
    </row>
    <row r="512" customFormat="false" ht="12.8" hidden="false" customHeight="true" outlineLevel="0" collapsed="false">
      <c r="B512" s="1" t="n">
        <v>46239</v>
      </c>
      <c r="C512" s="2" t="n">
        <f aca="false">25/60</f>
        <v>0.416666666666667</v>
      </c>
      <c r="G512" s="5" t="n">
        <f aca="false">SUM(C512:F512)</f>
        <v>0.416666666666667</v>
      </c>
      <c r="I512" s="3" t="s">
        <v>492</v>
      </c>
    </row>
    <row r="513" customFormat="false" ht="12.8" hidden="false" customHeight="true" outlineLevel="0" collapsed="false">
      <c r="B513" s="1" t="n">
        <f aca="false">7/8</f>
        <v>0.875</v>
      </c>
      <c r="C513" s="2" t="n">
        <f aca="false">10/60</f>
        <v>0.166666666666667</v>
      </c>
      <c r="G513" s="5" t="n">
        <f aca="false">SUM(C513:F513)</f>
        <v>0.166666666666667</v>
      </c>
      <c r="I513" s="3" t="s">
        <v>493</v>
      </c>
    </row>
    <row r="514" customFormat="false" ht="45.5" hidden="false" customHeight="false" outlineLevel="0" collapsed="false">
      <c r="B514" s="1" t="n">
        <v>46250</v>
      </c>
      <c r="C514" s="2" t="n">
        <f aca="false">15/60</f>
        <v>0.25</v>
      </c>
      <c r="G514" s="5" t="n">
        <f aca="false">SUM(C514:F514)</f>
        <v>0.25</v>
      </c>
      <c r="I514" s="3" t="s">
        <v>494</v>
      </c>
    </row>
    <row r="515" customFormat="false" ht="12.8" hidden="false" customHeight="true" outlineLevel="0" collapsed="false">
      <c r="B515" s="1" t="n">
        <v>46254</v>
      </c>
      <c r="C515" s="2" t="n">
        <f aca="false">20/60</f>
        <v>0.333333333333333</v>
      </c>
      <c r="G515" s="5" t="n">
        <f aca="false">SUM(C515:F515)</f>
        <v>0.333333333333333</v>
      </c>
      <c r="I515" s="17" t="s">
        <v>495</v>
      </c>
    </row>
    <row r="519" customFormat="false" ht="12.8" hidden="false" customHeight="true" outlineLevel="0" collapsed="false">
      <c r="G519" s="14" t="n">
        <f aca="false">SUM($G499:G518)</f>
        <v>13.6333333333333</v>
      </c>
    </row>
  </sheetData>
  <printOptions headings="false" gridLines="false" gridLinesSet="true" horizontalCentered="false" verticalCentered="false"/>
  <pageMargins left="0.7875" right="0.7875" top="1.025" bottom="1.025" header="0.7875" footer="0.7875"/>
  <pageSetup paperSize="9" scale="56"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8"/>
  <sheetViews>
    <sheetView showFormulas="false" showGridLines="true" showRowColHeaders="true" showZeros="true" rightToLeft="false" tabSelected="false" showOutlineSymbols="true" defaultGridColor="true" view="normal" topLeftCell="A1" colorId="64" zoomScale="69" zoomScaleNormal="69" zoomScalePageLayoutView="100" workbookViewId="0">
      <selection pane="topLeft" activeCell="D8" activeCellId="1" sqref="G514:G515 D8"/>
    </sheetView>
  </sheetViews>
  <sheetFormatPr defaultColWidth="11.9921875" defaultRowHeight="12.8" customHeight="true" zeroHeight="false" outlineLevelRow="0" outlineLevelCol="0"/>
  <cols>
    <col collapsed="false" customWidth="true" hidden="false" outlineLevel="0" max="3" min="3" style="6" width="19.04"/>
    <col collapsed="false" customWidth="true" hidden="false" outlineLevel="0" max="4" min="4" style="6" width="15.92"/>
  </cols>
  <sheetData>
    <row r="2" customFormat="false" ht="12.8" hidden="false" customHeight="false" outlineLevel="0" collapsed="false">
      <c r="A2" s="6"/>
      <c r="B2" s="1" t="n">
        <v>44267</v>
      </c>
      <c r="C2" s="6" t="s">
        <v>496</v>
      </c>
    </row>
    <row r="3" customFormat="false" ht="12.8" hidden="false" customHeight="false" outlineLevel="0" collapsed="false">
      <c r="B3" s="1" t="n">
        <v>44278</v>
      </c>
      <c r="C3" s="6" t="s">
        <v>497</v>
      </c>
    </row>
    <row r="4" customFormat="false" ht="12.8" hidden="false" customHeight="false" outlineLevel="0" collapsed="false">
      <c r="B4" s="1" t="n">
        <v>44278</v>
      </c>
      <c r="D4" s="6" t="s">
        <v>498</v>
      </c>
    </row>
    <row r="8" customFormat="false" ht="12.8" hidden="false" customHeight="false" outlineLevel="0" collapsed="false">
      <c r="B8" s="1"/>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739301</TotalTime>
  <Application>LibreOffice/25.2.0.3$MacOSX_AARCH64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2021-03-05T09:53:33Z</dcterms:created>
  <dc:creator/>
  <dc:description/>
  <dc:language>en-AU</dc:language>
  <cp:lastModifiedBy/>
  <cp:lastPrinted>2025-08-09T10:44:22Z</cp:lastPrinted>
  <dcterms:modified xsi:type="dcterms:W3CDTF">2026-08-20T10:13:27Z</dcterms:modified>
  <cp:revision>728</cp:revision>
  <dc:subject/>
  <dc:title/>
</cp:coreProperties>
</file>

<file path=docProps/custom.xml><?xml version="1.0" encoding="utf-8"?>
<Properties xmlns="http://schemas.openxmlformats.org/officeDocument/2006/custom-properties" xmlns:vt="http://schemas.openxmlformats.org/officeDocument/2006/docPropsVTypes"/>
</file>